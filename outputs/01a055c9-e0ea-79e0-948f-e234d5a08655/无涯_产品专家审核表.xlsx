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e98174ecee42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审核汇总" sheetId="1" r:id="Ra9a2eabd33914312"/>
    <x:sheet xmlns:r="http://schemas.openxmlformats.org/officeDocument/2006/relationships" name="审核说明" sheetId="2" r:id="R2fb5f048345b473c"/>
    <x:sheet xmlns:r="http://schemas.openxmlformats.org/officeDocument/2006/relationships" name="功能映射审核" sheetId="3" r:id="R537c8665dac545b8"/>
    <x:sheet xmlns:r="http://schemas.openxmlformats.org/officeDocument/2006/relationships" name="组合映射审核" sheetId="4" r:id="R47c335a5058342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7F6000"/>
      <x:name val="Carlito"/>
    </x:font>
    <x:font>
      <x:b/>
      <x:sz val="16"/>
      <x:color rgb="FFFFFFFF"/>
      <x:name val="Carlito"/>
    </x:font>
    <x:font>
      <x:b/>
      <x:sz val="11"/>
      <x:color rgb="FF244062"/>
      <x:name val="Carlito"/>
    </x:font>
    <x:font>
      <x:sz val="10"/>
      <x:color rgb="FF244062"/>
      <x:name val="Carlito"/>
    </x:font>
    <x:font>
      <x:sz val="10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E4E9EF"/>
      </x:bottom>
    </x:border>
    <x:border>
      <x:top style="thin">
        <x:color rgb="FFE4E9EF"/>
      </x:top>
      <x:bottom style="thin">
        <x:color rgb="FFE4E9EF"/>
      </x:bottom>
    </x:border>
    <x:border>
      <x:top style="thin">
        <x:color rgb="FFE4E9EF"/>
      </x:top>
      <x:bottom style="thin">
        <x:color rgb="FFCBD5E1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0" fillId="5" borderId="2" xfId="0" applyNumberFormat="1" applyFont="1" applyFill="1" applyBorder="1" applyAlignment="1">
      <x:alignment vertical="center"/>
    </x:xf>
    <x:xf numFmtId="0" fontId="3" fillId="5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6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6" borderId="6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201" fontId="8" fillId="6" borderId="6" xfId="0" applyNumberFormat="1" applyFont="1" applyFill="1" applyBorder="1" applyAlignment="1">
      <x:alignment vertical="top" wrapText="1"/>
    </x:xf>
    <x:xf numFmtId="201" fontId="8" fillId="6" borderId="7" xfId="0" applyNumberFormat="1" applyFont="1" applyFill="1" applyBorder="1" applyAlignment="1">
      <x:alignment vertical="top" wrapText="1"/>
    </x:xf>
    <x:xf numFmtId="201" fontId="8" fillId="6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CE4D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62b32fde1409c" /><Relationship Type="http://schemas.openxmlformats.org/officeDocument/2006/relationships/theme" Target="/xl/theme/theme1.xml" Id="Rc0b8f82fcd034e85" /><Relationship Type="http://schemas.openxmlformats.org/officeDocument/2006/relationships/sharedStrings" Target="/xl/sharedStrings.xml" Id="Re406504ab8b34080" /><Relationship Type="http://schemas.openxmlformats.org/officeDocument/2006/relationships/worksheet" Target="/xl/worksheets/sheet1.xml" Id="Ra9a2eabd33914312" /><Relationship Type="http://schemas.openxmlformats.org/officeDocument/2006/relationships/worksheet" Target="/xl/worksheets/sheet2.xml" Id="R2fb5f048345b473c" /><Relationship Type="http://schemas.openxmlformats.org/officeDocument/2006/relationships/worksheet" Target="/xl/worksheets/sheet3.xml" Id="R537c8665dac545b8" /><Relationship Type="http://schemas.openxmlformats.org/officeDocument/2006/relationships/worksheet" Target="/xl/worksheets/sheet4.xml" Id="R47c335a50583421b" /></Relationships>
</file>

<file path=xl/tables/table1.xml><?xml version="1.0" encoding="utf-8"?>
<x:table xmlns:x="http://schemas.openxmlformats.org/spreadsheetml/2006/main" id="1" name="WuyaCapabilityReview" displayName="WuyaCapabilityReview" ref="A4:O38" headerRowCount="1" totalsRowCount="0" totalsRowShown="0">
  <x:autoFilter ref="A4:O38"/>
  <x:tableColumns count="15">
    <x:tableColumn id="1" name="客户原始需求"/>
    <x:tableColumn id="2" name="标准功能"/>
    <x:tableColumn id="3" name="解决方案"/>
    <x:tableColumn id="4" name="主推产品"/>
    <x:tableColumn id="5" name="可选产品"/>
    <x:tableColumn id="6" name="推荐理由"/>
    <x:tableColumn id="7" name="适用条件"/>
    <x:tableColumn id="8" name="排除条件"/>
    <x:tableColumn id="9" name="资料来源"/>
    <x:tableColumn id="10" name="确认人"/>
    <x:tableColumn id="11" name="审核状态"/>
    <x:tableColumn id="12" name="专家正式口径"/>
    <x:tableColumn id="13" name="是否可对客"/>
    <x:tableColumn id="14" name="审核日期"/>
    <x:tableColumn id="15" name="审核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uyaCombinationReview" displayName="WuyaCombinationReview" ref="A4:S19" headerRowCount="1" totalsRowCount="0" totalsRowShown="0">
  <x:autoFilter ref="A4:S19"/>
  <x:tableColumns count="19">
    <x:tableColumn id="1" name="映射编号"/>
    <x:tableColumn id="2" name="销售复合需求"/>
    <x:tableColumn id="3" name="能力拆分"/>
    <x:tableColumn id="4" name="主推组合"/>
    <x:tableColumn id="5" name="产品分工"/>
    <x:tableColumn id="6" name="可选组合"/>
    <x:tableColumn id="7" name="适用条件"/>
    <x:tableColumn id="8" name="必须追问"/>
    <x:tableColumn id="9" name="排除条件"/>
    <x:tableColumn id="10" name="资料来源"/>
    <x:tableColumn id="11" name="资料冲突"/>
    <x:tableColumn id="12" name="推荐置信度"/>
    <x:tableColumn id="13" name="产品专家"/>
    <x:tableColumn id="14" name="审核状态"/>
    <x:tableColumn id="15" name="优化备注"/>
    <x:tableColumn id="16" name="专家正式口径"/>
    <x:tableColumn id="17" name="是否可对客"/>
    <x:tableColumn id="18" name="审核日期"/>
    <x:tableColumn id="19" name="审核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fff3c27624494f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f709d5b249473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4" hidden="0" customWidth="1"/>
    <x:col min="3" max="3" width="14" hidden="0" customWidth="1"/>
    <x:col min="4" max="4" width="14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34" customHeight="1">
      <x:c r="A1" s="3" t="str">
        <x:v>无涯 产品专家审核进度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审核对象</x:v>
      </x:c>
      <x:c r="B3" s="7" t="str">
        <x:v>总数</x:v>
      </x:c>
      <x:c r="C3" s="7" t="str">
        <x:v>已审核</x:v>
      </x:c>
      <x:c r="D3" s="7" t="str">
        <x:v>完成率</x:v>
      </x:c>
    </x:row>
    <x:row r="4">
      <x:c r="A4" s="9" t="str">
        <x:v>功能映射</x:v>
      </x:c>
      <x:c r="B4" s="9" t="n">
        <x:v>34</x:v>
      </x:c>
      <x:c r="C4" s="9" t="n">
        <x:f>COUNTIF('功能映射审核'!$K$5:$K$38,"&lt;&gt;待产品专家确认")</x:f>
        <x:v>0</x:v>
      </x:c>
      <x:c r="D4" s="14" t="n">
        <x:f>C4/B4</x:f>
        <x:v>0</x:v>
      </x:c>
    </x:row>
    <x:row r="5">
      <x:c r="A5" s="9" t="str">
        <x:v>组合映射</x:v>
      </x:c>
      <x:c r="B5" s="9" t="n">
        <x:v>15</x:v>
      </x:c>
      <x:c r="C5" s="9" t="n">
        <x:f>COUNTIF('组合映射审核'!$N$5:$N$19,"&lt;&gt;待产品专家确认")</x:f>
        <x:v>0</x:v>
      </x:c>
      <x:c r="D5" s="14" t="n">
        <x:f>C5/B5</x:f>
        <x:v>0</x:v>
      </x:c>
    </x:row>
    <x:row r="6">
      <x:c r="A6" s="11" t="str">
        <x:v>合计</x:v>
      </x:c>
      <x:c r="B6" s="11" t="n">
        <x:f>SUM(B4:B5)</x:f>
        <x:v>49</x:v>
      </x:c>
      <x:c r="C6" s="11" t="n">
        <x:f>SUM(C4:C5)</x:f>
        <x:v>0</x:v>
      </x:c>
      <x:c r="D6" s="15" t="n">
        <x:f>C6/B6</x:f>
        <x:v>0</x:v>
      </x:c>
    </x:row>
    <x:row r="7">
      <x:c r="A7" s="13" t="str">
        <x:v>可对客条目</x:v>
      </x:c>
      <x:c r="B7" s="13" t="n">
        <x:f>COUNTIF('功能映射审核'!$M$5:$M$38,"是")+COUNTIF('组合映射审核'!$Q$5:$Q$19,"是")</x:f>
        <x:v>0</x:v>
      </x:c>
      <x:c r="C7" s="13"/>
      <x:c r="D7" s="13"/>
    </x:row>
    <x:row r="9" ht="34" customHeight="1">
      <x:c r="A9" s="18" t="str">
        <x:v>完成标准：49 条全部完成审核；允许对客的条目必须填写专家正式口径、审核人和日期。</x:v>
      </x:c>
      <x:c r="B9" s="18"/>
      <x:c r="C9" s="18"/>
      <x:c r="D9" s="18"/>
      <x:c r="E9" s="18"/>
      <x:c r="F9" s="18"/>
      <x:c r="G9" s="18"/>
      <x:c r="H9" s="18"/>
    </x:row>
  </x:sheetData>
  <x:mergeCells>
    <x:mergeCell ref="A1:H1"/>
    <x:mergeCell ref="A9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88" hidden="0" customWidth="1"/>
  </x:cols>
  <x:sheetData>
    <x:row r="1">
      <x:c r="A1" s="19" t="str">
        <x:v>无涯 产品专家审核说明</x:v>
      </x:c>
      <x:c r="B1" s="19"/>
      <x:c r="C1" s="19"/>
      <x:c r="D1" s="19"/>
      <x:c r="E1" s="19"/>
      <x:c r="F1" s="19"/>
    </x:row>
    <x:row r="3">
      <x:c r="A3" s="20" t="str">
        <x:v>步骤</x:v>
      </x:c>
      <x:c r="B3" s="20" t="str">
        <x:v>操作要求</x:v>
      </x:c>
    </x:row>
    <x:row r="4" ht="38" customHeight="1">
      <x:c r="A4" s="25" t="n">
        <x:v>1</x:v>
      </x:c>
      <x:c r="B4" s="22" t="str">
        <x:v>逐条核对功能或组合是否属于当前可售、可交付版本。</x:v>
      </x:c>
    </x:row>
    <x:row r="5" ht="38" customHeight="1">
      <x:c r="A5" s="25" t="n">
        <x:v>2</x:v>
      </x:c>
      <x:c r="B5" s="22" t="str">
        <x:v>在黄色字段中填写审核状态、专家姓名、日期及是否可对客。</x:v>
      </x:c>
    </x:row>
    <x:row r="6" ht="38" customHeight="1">
      <x:c r="A6" s="25" t="n">
        <x:v>3</x:v>
      </x:c>
      <x:c r="B6" s="22" t="str">
        <x:v>若原始描述需要修订，在“专家正式口径”中写完整替代文本，不直接删除原始映射。</x:v>
      </x:c>
    </x:row>
    <x:row r="7" ht="38" customHeight="1">
      <x:c r="A7" s="25" t="n">
        <x:v>4</x:v>
      </x:c>
      <x:c r="B7" s="22" t="str">
        <x:v>涉及版本、License、性能数字、渠道接入或交付前置条件时，必须写明边界。</x:v>
      </x:c>
    </x:row>
    <x:row r="8" ht="38" customHeight="1">
      <x:c r="A8" s="25" t="n">
        <x:v>5</x:v>
      </x:c>
      <x:c r="B8" s="22" t="str">
        <x:v>选择“修改后通过”“不通过”或“待补充资料”时，必须填写审核意见。</x:v>
      </x:c>
    </x:row>
    <x:row r="9" ht="38" customHeight="1">
      <x:c r="A9" s="25" t="n">
        <x:v>6</x:v>
      </x:c>
      <x:c r="B9" s="22" t="str">
        <x:v>只有状态为“通过”或“修改后通过”且“是否可对客”为“是”的条目，后续才可转生产口径。</x:v>
      </x:c>
    </x:row>
    <x:row r="10" ht="38" customHeight="1">
      <x:c r="A10" s="25" t="n">
        <x:v>7</x:v>
      </x:c>
      <x:c r="B10" s="22" t="str">
        <x:v>审核完毕后交回项目负责人，根据意见修正知识映射并执行完整回归测试。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24" hidden="0" customWidth="1"/>
    <x:col min="5" max="5" width="22" hidden="0" customWidth="1"/>
    <x:col min="6" max="6" width="34" hidden="0" customWidth="1"/>
    <x:col min="7" max="7" width="30" hidden="0" customWidth="1"/>
    <x:col min="8" max="8" width="30" hidden="0" customWidth="1"/>
    <x:col min="9" max="9" width="44" hidden="0" customWidth="1"/>
    <x:col min="10" max="10" width="16" hidden="0" customWidth="1"/>
    <x:col min="11" max="11" width="18" hidden="0" customWidth="1"/>
    <x:col min="12" max="12" width="40" hidden="0" customWidth="1"/>
    <x:col min="13" max="13" width="14" hidden="0" customWidth="1"/>
    <x:col min="14" max="14" width="14" hidden="0" customWidth="1"/>
    <x:col min="15" max="15" width="34" hidden="0" customWidth="1"/>
  </x:cols>
  <x:sheetData>
    <x:row r="1" ht="30" customHeight="1">
      <x:c r="A1" s="26" t="str">
        <x:v>无涯 功能—产品映射专家审核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</x:row>
    <x:row r="2" ht="40" customHeight="1">
      <x:c r="A2" s="30" t="str">
        <x:v>共 34 条。蓝色为原始知识字段，黄色为专家填写字段；原始映射保留用于追溯。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</x:row>
    <x:row r="4" ht="38" customHeight="1">
      <x:c r="A4" s="40" t="str">
        <x:v>客户原始需求</x:v>
      </x:c>
      <x:c r="B4" s="41" t="str">
        <x:v>标准功能</x:v>
      </x:c>
      <x:c r="C4" s="41" t="str">
        <x:v>解决方案</x:v>
      </x:c>
      <x:c r="D4" s="41" t="str">
        <x:v>主推产品</x:v>
      </x:c>
      <x:c r="E4" s="41" t="str">
        <x:v>可选产品</x:v>
      </x:c>
      <x:c r="F4" s="41" t="str">
        <x:v>推荐理由</x:v>
      </x:c>
      <x:c r="G4" s="41" t="str">
        <x:v>适用条件</x:v>
      </x:c>
      <x:c r="H4" s="41" t="str">
        <x:v>排除条件</x:v>
      </x:c>
      <x:c r="I4" s="41" t="str">
        <x:v>资料来源</x:v>
      </x:c>
      <x:c r="J4" s="41" t="str">
        <x:v>确认人</x:v>
      </x:c>
      <x:c r="K4" s="41" t="str">
        <x:v>审核状态</x:v>
      </x:c>
      <x:c r="L4" s="41" t="str">
        <x:v>专家正式口径</x:v>
      </x:c>
      <x:c r="M4" s="41" t="str">
        <x:v>是否可对客</x:v>
      </x:c>
      <x:c r="N4" s="41" t="str">
        <x:v>审核日期</x:v>
      </x:c>
      <x:c r="O4" s="42" t="str">
        <x:v>审核意见</x:v>
      </x:c>
    </x:row>
    <x:row r="5" ht="48" customHeight="1">
      <x:c r="A5" s="50" t="str">
        <x:v>客户要统一管理文档、表格、图片、音频和视频并用于问答</x:v>
      </x:c>
      <x:c r="B5" s="50" t="str">
        <x:v>多源多模态知识问答</x:v>
      </x:c>
      <x:c r="C5" s="50" t="str">
        <x:v>企业知识问答</x:v>
      </x:c>
      <x:c r="D5" s="50" t="str">
        <x:v>无涯·问知</x:v>
      </x:c>
      <x:c r="E5" s="50" t="str">
        <x:v>TKH + 知识门户</x:v>
      </x:c>
      <x:c r="F5" s="50" t="str">
        <x:v>问知支持多源、多模态知识接入、解析、检索和 RAG 问答</x:v>
      </x:c>
      <x:c r="G5" s="50" t="str">
        <x:v>主要对象是非结构化或多模态知识</x:v>
      </x:c>
      <x:c r="H5" s="50" t="str">
        <x:v>若核心是数据库自然语言查询，应选择无涯·问数</x:v>
      </x:c>
      <x:c r="I5" s="50" t="str">
        <x:v>问知白皮书V2.0_20250718.pdf#page=3;page=5</x:v>
      </x:c>
      <x:c r="J5" s="53" t="str">
        <x:v>待产品专家确认</x:v>
      </x:c>
      <x:c r="K5" s="53" t="str">
        <x:v>待产品专家确认</x:v>
      </x:c>
      <x:c r="L5" s="50" t="str"/>
      <x:c r="M5" s="53" t="str">
        <x:v>否</x:v>
      </x:c>
      <x:c r="N5" s="56" t="str"/>
      <x:c r="O5" s="50" t="str"/>
    </x:row>
    <x:row r="6" ht="48" customHeight="1">
      <x:c r="A6" s="51" t="str">
        <x:v>员工要上传自己的资料建立仅本人使用的知识库</x:v>
      </x:c>
      <x:c r="B6" s="51" t="str">
        <x:v>个人知识库</x:v>
      </x:c>
      <x:c r="C6" s="51" t="str">
        <x:v>个人知识管理</x:v>
      </x:c>
      <x:c r="D6" s="51" t="str">
        <x:v>无涯·问知</x:v>
      </x:c>
      <x:c r="E6" s="51" t="str">
        <x:v>问知AIPC版</x:v>
      </x:c>
      <x:c r="F6" s="51" t="str">
        <x:v>问知支持个人知识源和个人知识库问答</x:v>
      </x:c>
      <x:c r="G6" s="51" t="str">
        <x:v>知识归个人且需要与企业共享区隔离</x:v>
      </x:c>
      <x:c r="H6" s="51" t="str">
        <x:v>需要组织共享时应使用企业知识库与权限体系</x:v>
      </x:c>
      <x:c r="I6" s="51" t="str">
        <x:v>问知白皮书V2.0_20250718.pdf#page=3;page=5;无涯问知功能清单与描述（引导参数）.xlsx#sheet=无涯问知v2.6.0</x:v>
      </x:c>
      <x:c r="J6" s="54" t="str">
        <x:v>待产品专家确认</x:v>
      </x:c>
      <x:c r="K6" s="54" t="str">
        <x:v>待产品专家确认</x:v>
      </x:c>
      <x:c r="L6" s="51" t="str"/>
      <x:c r="M6" s="54" t="str">
        <x:v>否</x:v>
      </x:c>
      <x:c r="N6" s="57" t="str"/>
      <x:c r="O6" s="51" t="str"/>
    </x:row>
    <x:row r="7" ht="48" customHeight="1">
      <x:c r="A7" s="51" t="str">
        <x:v>客户要建设按部门授权的企业知识库</x:v>
      </x:c>
      <x:c r="B7" s="51" t="str">
        <x:v>企业知识库与组织权限</x:v>
      </x:c>
      <x:c r="C7" s="51" t="str">
        <x:v>企业知识管理</x:v>
      </x:c>
      <x:c r="D7" s="51" t="str">
        <x:v>TKH + 无涯·问知</x:v>
      </x:c>
      <x:c r="E7" s="51" t="str">
        <x:v>知识门户</x:v>
      </x:c>
      <x:c r="F7" s="51" t="str">
        <x:v>TKH/问知支持企业知识库、组织架构、角色和知识库权限</x:v>
      </x:c>
      <x:c r="G7" s="51" t="str">
        <x:v>部门、角色和知识 Owner 已明确</x:v>
      </x:c>
      <x:c r="H7" s="51" t="str">
        <x:v>不能把公有云预置库当作客户私有知识库</x:v>
      </x:c>
      <x:c r="I7" s="51" t="str">
        <x:v>问知白皮书V2.0_20250718.pdf#page=6;page=9-10</x:v>
      </x:c>
      <x:c r="J7" s="54" t="str">
        <x:v>待产品专家确认</x:v>
      </x:c>
      <x:c r="K7" s="54" t="str">
        <x:v>待产品专家确认</x:v>
      </x:c>
      <x:c r="L7" s="51" t="str"/>
      <x:c r="M7" s="54" t="str">
        <x:v>否</x:v>
      </x:c>
      <x:c r="N7" s="57" t="str"/>
      <x:c r="O7" s="51" t="str"/>
    </x:row>
    <x:row r="8" ht="48" customHeight="1">
      <x:c r="A8" s="51" t="str">
        <x:v>客户要求回答能查看原文并追溯出处</x:v>
      </x:c>
      <x:c r="B8" s="51" t="str">
        <x:v>引用溯源与原文预览</x:v>
      </x:c>
      <x:c r="C8" s="51" t="str">
        <x:v>可信知识问答</x:v>
      </x:c>
      <x:c r="D8" s="51" t="str">
        <x:v>无涯·问知</x:v>
      </x:c>
      <x:c r="E8" s="51" t="str">
        <x:v>问知深度研究助手</x:v>
      </x:c>
      <x:c r="F8" s="51" t="str">
        <x:v>问知提供参考文档原文预览和来源引用</x:v>
      </x:c>
      <x:c r="G8" s="51" t="str">
        <x:v>知识源已合法接入且文档可解析</x:v>
      </x:c>
      <x:c r="H8" s="51" t="str">
        <x:v>来源引用不等于结论绝对正确，仍需人工复核高风险答案</x:v>
      </x:c>
      <x:c r="I8" s="51" t="str">
        <x:v>问知白皮书V2.0_20250718.pdf#page=5;无涯问知功能清单与描述（引导参数）.xlsx#sheet=无涯问知v2.6.0</x:v>
      </x:c>
      <x:c r="J8" s="54" t="str">
        <x:v>待产品专家确认</x:v>
      </x:c>
      <x:c r="K8" s="54" t="str">
        <x:v>待产品专家确认</x:v>
      </x:c>
      <x:c r="L8" s="51" t="str"/>
      <x:c r="M8" s="54" t="str">
        <x:v>否</x:v>
      </x:c>
      <x:c r="N8" s="57" t="str"/>
      <x:c r="O8" s="51" t="str"/>
    </x:row>
    <x:row r="9" ht="48" customHeight="1">
      <x:c r="A9" s="51" t="str">
        <x:v>客户既要快速问答，也要深度思考和多步搜索</x:v>
      </x:c>
      <x:c r="B9" s="51" t="str">
        <x:v>常规问答、深度思考与深度搜索</x:v>
      </x:c>
      <x:c r="C9" s="51" t="str">
        <x:v>分层问答模式</x:v>
      </x:c>
      <x:c r="D9" s="51" t="str">
        <x:v>无涯·问知</x:v>
      </x:c>
      <x:c r="E9" s="51" t="str">
        <x:v>问知深度研究助手</x:v>
      </x:c>
      <x:c r="F9" s="51" t="str">
        <x:v>问知提供常规问答、深度思考和深度搜索模式</x:v>
      </x:c>
      <x:c r="G9" s="51" t="str">
        <x:v>用户能根据问题复杂度选择模式</x:v>
      </x:c>
      <x:c r="H9" s="51" t="str">
        <x:v>复杂研究流程不能只靠常规问答模式</x:v>
      </x:c>
      <x:c r="I9" s="51" t="str">
        <x:v>问知白皮书V2.0_20250718.pdf#page=5</x:v>
      </x:c>
      <x:c r="J9" s="54" t="str">
        <x:v>待产品专家确认</x:v>
      </x:c>
      <x:c r="K9" s="54" t="str">
        <x:v>待产品专家确认</x:v>
      </x:c>
      <x:c r="L9" s="51" t="str"/>
      <x:c r="M9" s="54" t="str">
        <x:v>否</x:v>
      </x:c>
      <x:c r="N9" s="57" t="str"/>
      <x:c r="O9" s="51" t="str"/>
    </x:row>
    <x:row r="10" ht="48" customHeight="1">
      <x:c r="A10" s="51" t="str">
        <x:v>客户要把企业文档统一编目、检索和共享</x:v>
      </x:c>
      <x:c r="B10" s="51" t="str">
        <x:v>企业知识门户</x:v>
      </x:c>
      <x:c r="C10" s="51" t="str">
        <x:v>全域知识管理</x:v>
      </x:c>
      <x:c r="D10" s="51" t="str">
        <x:v>TKH + 知识门户</x:v>
      </x:c>
      <x:c r="E10" s="51" t="str">
        <x:v>无涯·问知</x:v>
      </x:c>
      <x:c r="F10" s="51" t="str">
        <x:v>知识门户面向分类存储、编目、检索、权限和共享</x:v>
      </x:c>
      <x:c r="G10" s="51" t="str">
        <x:v>需要组织级知识运营而非个人临时问答</x:v>
      </x:c>
      <x:c r="H10" s="51" t="str">
        <x:v>门户不替代知识问答应用和内容审核流程</x:v>
      </x:c>
      <x:c r="I10" s="51" t="str">
        <x:v>问知白皮书V2.0_20250718.pdf#page=6;THK白皮书V3.0(简版).pdf#page=1</x:v>
      </x:c>
      <x:c r="J10" s="54" t="str">
        <x:v>待产品专家确认</x:v>
      </x:c>
      <x:c r="K10" s="54" t="str">
        <x:v>待产品专家确认</x:v>
      </x:c>
      <x:c r="L10" s="51" t="str"/>
      <x:c r="M10" s="54" t="str">
        <x:v>否</x:v>
      </x:c>
      <x:c r="N10" s="57" t="str"/>
      <x:c r="O10" s="51" t="str"/>
    </x:row>
    <x:row r="11" ht="48" customHeight="1">
      <x:c r="A11" s="51" t="str">
        <x:v>客户希望生成公文、行业报告并做润色翻译和纠错</x:v>
      </x:c>
      <x:c r="B11" s="51" t="str">
        <x:v>智能写作与文档生成</x:v>
      </x:c>
      <x:c r="C11" s="51" t="str">
        <x:v>领域写作</x:v>
      </x:c>
      <x:c r="D11" s="51" t="str">
        <x:v>无涯·问知</x:v>
      </x:c>
      <x:c r="E11" s="51" t="str">
        <x:v>问知深度研究助手</x:v>
      </x:c>
      <x:c r="F11" s="51" t="str">
        <x:v>问知提供大纲、写作、逐段编辑、润色、翻译、纠错和合规审核</x:v>
      </x:c>
      <x:c r="G11" s="51" t="str">
        <x:v>需要基于指定知识与模板生成内容</x:v>
      </x:c>
      <x:c r="H11" s="51" t="str">
        <x:v>正式公文和对外报告仍需人工审核</x:v>
      </x:c>
      <x:c r="I11" s="51" t="str">
        <x:v>问知白皮书V2.0_20250718.pdf#page=7-8;page=11</x:v>
      </x:c>
      <x:c r="J11" s="54" t="str">
        <x:v>待产品专家确认</x:v>
      </x:c>
      <x:c r="K11" s="54" t="str">
        <x:v>待产品专家确认</x:v>
      </x:c>
      <x:c r="L11" s="51" t="str"/>
      <x:c r="M11" s="54" t="str">
        <x:v>否</x:v>
      </x:c>
      <x:c r="N11" s="57" t="str"/>
      <x:c r="O11" s="51" t="str"/>
    </x:row>
    <x:row r="12" ht="48" customHeight="1">
      <x:c r="A12" s="51" t="str">
        <x:v>客户要合同审核、财务审核、尽调、论文或视频解析助手</x:v>
      </x:c>
      <x:c r="B12" s="51" t="str">
        <x:v>内置场景助手</x:v>
      </x:c>
      <x:c r="C12" s="51" t="str">
        <x:v>开箱即用知识应用</x:v>
      </x:c>
      <x:c r="D12" s="51" t="str">
        <x:v>无涯·问知</x:v>
      </x:c>
      <x:c r="E12" s="51" t="str">
        <x:v>问知常规问答助手</x:v>
      </x:c>
      <x:c r="F12" s="51" t="str">
        <x:v>问知内置数据分析、尽调、视频解析、合同、财务、论文、公文等助手</x:v>
      </x:c>
      <x:c r="G12" s="51" t="str">
        <x:v>需求与内置助手范围匹配</x:v>
      </x:c>
      <x:c r="H12" s="51" t="str">
        <x:v>具体助手和版本支持以当前功能清单为准</x:v>
      </x:c>
      <x:c r="I12" s="51" t="str">
        <x:v>问知白皮书V2.0_20250718.pdf#page=8;page=10-12</x:v>
      </x:c>
      <x:c r="J12" s="54" t="str">
        <x:v>待产品专家确认</x:v>
      </x:c>
      <x:c r="K12" s="54" t="str">
        <x:v>待产品专家确认</x:v>
      </x:c>
      <x:c r="L12" s="51" t="str"/>
      <x:c r="M12" s="54" t="str">
        <x:v>否</x:v>
      </x:c>
      <x:c r="N12" s="57" t="str"/>
      <x:c r="O12" s="51" t="str"/>
    </x:row>
    <x:row r="13" ht="48" customHeight="1">
      <x:c r="A13" s="51" t="str">
        <x:v>业务人员要零代码配置客服或法规咨询机器人</x:v>
      </x:c>
      <x:c r="B13" s="51" t="str">
        <x:v>常规问答类自定义助手</x:v>
      </x:c>
      <x:c r="C13" s="51" t="str">
        <x:v>标准化问答应用</x:v>
      </x:c>
      <x:c r="D13" s="51" t="str">
        <x:v>无涯·问知 + 问知常规问答助手</x:v>
      </x:c>
      <x:c r="E13" s="51" t="str">
        <x:v>TKH</x:v>
      </x:c>
      <x:c r="F13" s="51" t="str">
        <x:v>通过一句话指令、知识源和开场白快速配置高频标准化问答</x:v>
      </x:c>
      <x:c r="G13" s="51" t="str">
        <x:v>任务边界清楚且答案主要来自知识库</x:v>
      </x:c>
      <x:c r="H13" s="51" t="str">
        <x:v>需要跨系统执行或复杂研究时不应只用常规问答助手</x:v>
      </x:c>
      <x:c r="I13" s="51" t="str">
        <x:v>问知白皮书V2.0_20250718.pdf#page=9</x:v>
      </x:c>
      <x:c r="J13" s="54" t="str">
        <x:v>待产品专家确认</x:v>
      </x:c>
      <x:c r="K13" s="54" t="str">
        <x:v>待产品专家确认</x:v>
      </x:c>
      <x:c r="L13" s="51" t="str"/>
      <x:c r="M13" s="54" t="str">
        <x:v>否</x:v>
      </x:c>
      <x:c r="N13" s="57" t="str"/>
      <x:c r="O13" s="51" t="str"/>
    </x:row>
    <x:row r="14" ht="48" customHeight="1">
      <x:c r="A14" s="51" t="str">
        <x:v>客户要配置研究框架、报告大纲、内部知识、数据库和互联网完成复杂研究</x:v>
      </x:c>
      <x:c r="B14" s="51" t="str">
        <x:v>深度研究助手</x:v>
      </x:c>
      <x:c r="C14" s="51" t="str">
        <x:v>企业复杂研究</x:v>
      </x:c>
      <x:c r="D14" s="51" t="str">
        <x:v>无涯·问知 + 问知深度研究助手</x:v>
      </x:c>
      <x:c r="E14" s="51" t="str">
        <x:v>无涯·问数</x:v>
      </x:c>
      <x:c r="F14" s="51" t="str">
        <x:v>深度研究助手支持多源数据、多工具、研究思路和报告大纲配置</x:v>
      </x:c>
      <x:c r="G14" s="51" t="str">
        <x:v>研究过程需要透明、可调整且结果需溯源</x:v>
      </x:c>
      <x:c r="H14" s="51" t="str">
        <x:v>资料未确认的效率数字不能直接对客承诺</x:v>
      </x:c>
      <x:c r="I14" s="51" t="str">
        <x:v>无涯问知深度研究助手产品介绍.pptx#slide=1-6;问知白皮书V2.0_20250718.pdf#page=9</x:v>
      </x:c>
      <x:c r="J14" s="54" t="str">
        <x:v>待产品专家确认</x:v>
      </x:c>
      <x:c r="K14" s="54" t="str">
        <x:v>待产品专家确认</x:v>
      </x:c>
      <x:c r="L14" s="51" t="str"/>
      <x:c r="M14" s="54" t="str">
        <x:v>否</x:v>
      </x:c>
      <x:c r="N14" s="57" t="str"/>
      <x:c r="O14" s="51" t="str"/>
    </x:row>
    <x:row r="15" ht="48" customHeight="1">
      <x:c r="A15" s="51" t="str">
        <x:v>客户要求知识库按组织、角色和单库读写权限隔离</x:v>
      </x:c>
      <x:c r="B15" s="51" t="str">
        <x:v>RBAC、SSO与知识权限</x:v>
      </x:c>
      <x:c r="C15" s="51" t="str">
        <x:v>知识安全治理</x:v>
      </x:c>
      <x:c r="D15" s="51" t="str">
        <x:v>TKH + 无涯·问知</x:v>
      </x:c>
      <x:c r="E15" s="51" t="str">
        <x:v>Co-Worker</x:v>
      </x:c>
      <x:c r="F15" s="51" t="str">
        <x:v>问知支持组织、角色、知识库权限并可对接 SSO</x:v>
      </x:c>
      <x:c r="G15" s="51" t="str">
        <x:v>客户已有身份体系和权限规则</x:v>
      </x:c>
      <x:c r="H15" s="51" t="str">
        <x:v>具体 SSO 协议和权限粒度需按版本确认</x:v>
      </x:c>
      <x:c r="I15" s="51" t="str">
        <x:v>问知白皮书V2.0_20250718.pdf#page=9-10</x:v>
      </x:c>
      <x:c r="J15" s="54" t="str">
        <x:v>待产品专家确认</x:v>
      </x:c>
      <x:c r="K15" s="54" t="str">
        <x:v>待产品专家确认</x:v>
      </x:c>
      <x:c r="L15" s="51" t="str"/>
      <x:c r="M15" s="54" t="str">
        <x:v>否</x:v>
      </x:c>
      <x:c r="N15" s="57" t="str"/>
      <x:c r="O15" s="51" t="str"/>
    </x:row>
    <x:row r="16" ht="48" customHeight="1">
      <x:c r="A16" s="51" t="str">
        <x:v>客户希望使用财经年报、新闻、法律和互联网预置知识</x:v>
      </x:c>
      <x:c r="B16" s="51" t="str">
        <x:v>公域与预置知识源</x:v>
      </x:c>
      <x:c r="C16" s="51" t="str">
        <x:v>外部知识服务</x:v>
      </x:c>
      <x:c r="D16" s="51" t="str">
        <x:v>问知云端版</x:v>
      </x:c>
      <x:c r="E16" s="51" t="str">
        <x:v>无涯·问知</x:v>
      </x:c>
      <x:c r="F16" s="51" t="str">
        <x:v>问知云端形态可结合财经、法律和互联网知识源</x:v>
      </x:c>
      <x:c r="G16" s="51" t="str">
        <x:v>客户接受云端服务和数据授权条件</x:v>
      </x:c>
      <x:c r="H16" s="51" t="str">
        <x:v>私有化部署不自动包含公有云预置知识源</x:v>
      </x:c>
      <x:c r="I16" s="51" t="str">
        <x:v>问知白皮书V2.0_20250718.pdf#page=3-5;page=7</x:v>
      </x:c>
      <x:c r="J16" s="54" t="str">
        <x:v>待产品专家确认</x:v>
      </x:c>
      <x:c r="K16" s="54" t="str">
        <x:v>待产品专家确认</x:v>
      </x:c>
      <x:c r="L16" s="51" t="str"/>
      <x:c r="M16" s="54" t="str">
        <x:v>否</x:v>
      </x:c>
      <x:c r="N16" s="57" t="str"/>
      <x:c r="O16" s="51" t="str"/>
    </x:row>
    <x:row r="17" ht="48" customHeight="1">
      <x:c r="A17" s="51" t="str">
        <x:v>客户要求企业文档和模型全部留在内网</x:v>
      </x:c>
      <x:c r="B17" s="51" t="str">
        <x:v>私有化知识问答</x:v>
      </x:c>
      <x:c r="C17" s="51" t="str">
        <x:v>数据不出域</x:v>
      </x:c>
      <x:c r="D17" s="51" t="str">
        <x:v>问知企业版</x:v>
      </x:c>
      <x:c r="E17" s="51" t="str">
        <x:v>TKH + Sophon LLMOps</x:v>
      </x:c>
      <x:c r="F17" s="51" t="str">
        <x:v>问知企业版支持本地化部署和私有知识库</x:v>
      </x:c>
      <x:c r="G17" s="51" t="str">
        <x:v>客户具备服务器、模型和运维条件</x:v>
      </x:c>
      <x:c r="H17" s="51" t="str">
        <x:v>是否完全离线及外部模型调用需按部署配置确认</x:v>
      </x:c>
      <x:c r="I17" s="51" t="str">
        <x:v>问知白皮书V2.0_20250718.pdf#page=4</x:v>
      </x:c>
      <x:c r="J17" s="54" t="str">
        <x:v>待产品专家确认</x:v>
      </x:c>
      <x:c r="K17" s="54" t="str">
        <x:v>待产品专家确认</x:v>
      </x:c>
      <x:c r="L17" s="51" t="str"/>
      <x:c r="M17" s="54" t="str">
        <x:v>否</x:v>
      </x:c>
      <x:c r="N17" s="57" t="str"/>
      <x:c r="O17" s="51" t="str"/>
    </x:row>
    <x:row r="18" ht="48" customHeight="1">
      <x:c r="A18" s="51" t="str">
        <x:v>个人用户希望在电脑本地运行问知并兼顾隐私</x:v>
      </x:c>
      <x:c r="B18" s="51" t="str">
        <x:v>AIPC本地知识助手</x:v>
      </x:c>
      <x:c r="C18" s="51" t="str">
        <x:v>个人本地问答</x:v>
      </x:c>
      <x:c r="D18" s="51" t="str">
        <x:v>问知AIPC版</x:v>
      </x:c>
      <x:c r="E18" s="51" t="str">
        <x:v>无涯问知AI工作站</x:v>
      </x:c>
      <x:c r="F18" s="51" t="str">
        <x:v>AIPC 版面向个人电脑本地模型与知识使用</x:v>
      </x:c>
      <x:c r="G18" s="51" t="str">
        <x:v>个人或小规模使用且硬件满足要求</x:v>
      </x:c>
      <x:c r="H18" s="51" t="str">
        <x:v>AIPC 版与团队 AI 工作站、企业版不能混为一谈</x:v>
      </x:c>
      <x:c r="I18" s="51" t="str">
        <x:v>问知白皮书V2.0_20250718.pdf#page=4</x:v>
      </x:c>
      <x:c r="J18" s="54" t="str">
        <x:v>待产品专家确认</x:v>
      </x:c>
      <x:c r="K18" s="54" t="str">
        <x:v>待产品专家确认</x:v>
      </x:c>
      <x:c r="L18" s="51" t="str"/>
      <x:c r="M18" s="54" t="str">
        <x:v>否</x:v>
      </x:c>
      <x:c r="N18" s="57" t="str"/>
      <x:c r="O18" s="51" t="str"/>
    </x:row>
    <x:row r="19" ht="48" customHeight="1">
      <x:c r="A19" s="51" t="str">
        <x:v>50人以内团队希望软硬件一体、开箱即用部署知识问答</x:v>
      </x:c>
      <x:c r="B19" s="51" t="str">
        <x:v>AI工作站一体化交付</x:v>
      </x:c>
      <x:c r="C19" s="51" t="str">
        <x:v>团队AI工作站</x:v>
      </x:c>
      <x:c r="D19" s="51" t="str">
        <x:v>无涯问知AI工作站</x:v>
      </x:c>
      <x:c r="E19" s="51" t="str">
        <x:v>问知企业版</x:v>
      </x:c>
      <x:c r="F19" s="51" t="str">
        <x:v>AI 工作站资料定位为桌面级一体机和小团队开箱即用形态</x:v>
      </x:c>
      <x:c r="G19" s="51" t="str">
        <x:v>团队规模、模型和并发符合正式配置</x:v>
      </x:c>
      <x:c r="H19" s="51" t="str">
        <x:v>30 tokens/s、50 人等数字需以正式方案和压测为准</x:v>
      </x:c>
      <x:c r="I19" s="51" t="str">
        <x:v>无涯问知AI工作站产品介绍202601.pptx#slide=1-3</x:v>
      </x:c>
      <x:c r="J19" s="54" t="str">
        <x:v>待产品专家确认</x:v>
      </x:c>
      <x:c r="K19" s="54" t="str">
        <x:v>待产品专家确认</x:v>
      </x:c>
      <x:c r="L19" s="51" t="str"/>
      <x:c r="M19" s="54" t="str">
        <x:v>否</x:v>
      </x:c>
      <x:c r="N19" s="57" t="str"/>
      <x:c r="O19" s="51" t="str"/>
    </x:row>
    <x:row r="20" ht="48" customHeight="1">
      <x:c r="A20" s="51" t="str">
        <x:v>业务人员要用自然语言查询企业数据库并返回图表</x:v>
      </x:c>
      <x:c r="B20" s="51" t="str">
        <x:v>自然语言数据问答</x:v>
      </x:c>
      <x:c r="C20" s="51" t="str">
        <x:v>智能问数</x:v>
      </x:c>
      <x:c r="D20" s="51" t="str">
        <x:v>无涯·问数</x:v>
      </x:c>
      <x:c r="E20" s="51" t="str">
        <x:v>TDS + 无涯·问数</x:v>
      </x:c>
      <x:c r="F20" s="51" t="str">
        <x:v>问数把自然语言转换为查询并返回明细或可视化结果</x:v>
      </x:c>
      <x:c r="G20" s="51" t="str">
        <x:v>数据源、主体和业务口径已准备</x:v>
      </x:c>
      <x:c r="H20" s="51" t="str">
        <x:v>文档知识问答应使用无涯·问知</x:v>
      </x:c>
      <x:c r="I20" s="51" t="str">
        <x:v>问数白皮书V2.0_20250718.pdf#page=4-5;无涯问数事项跟踪2026_功能清单及数据库支持清单_更新至2.X.0.xlsx#sheet=功能清单</x:v>
      </x:c>
      <x:c r="J20" s="54" t="str">
        <x:v>待产品专家确认</x:v>
      </x:c>
      <x:c r="K20" s="54" t="str">
        <x:v>待产品专家确认</x:v>
      </x:c>
      <x:c r="L20" s="51" t="str"/>
      <x:c r="M20" s="54" t="str">
        <x:v>否</x:v>
      </x:c>
      <x:c r="N20" s="57" t="str"/>
      <x:c r="O20" s="51" t="str"/>
    </x:row>
    <x:row r="21" ht="48" customHeight="1">
      <x:c r="A21" s="51" t="str">
        <x:v>用户问完销售额后还要追问同比和按区域拆分</x:v>
      </x:c>
      <x:c r="B21" s="51" t="str">
        <x:v>多轮数据追问</x:v>
      </x:c>
      <x:c r="C21" s="51" t="str">
        <x:v>连续数据探索</x:v>
      </x:c>
      <x:c r="D21" s="51" t="str">
        <x:v>无涯·问数</x:v>
      </x:c>
      <x:c r="E21" s="51" t="str">
        <x:v>无涯·问数 + TDS</x:v>
      </x:c>
      <x:c r="F21" s="51" t="str">
        <x:v>问数支持结合上一轮问题、SQL 和结果继续追问</x:v>
      </x:c>
      <x:c r="G21" s="51" t="str">
        <x:v>同一用户同一场景且上一轮上下文有效</x:v>
      </x:c>
      <x:c r="H21" s="51" t="str">
        <x:v>跨用户或完整新问题不能继承上一轮</x:v>
      </x:c>
      <x:c r="I21" s="51" t="str">
        <x:v>问数白皮书V2.0_20250718.pdf#page=4;page=9;无涯问数事项跟踪2026_功能清单及数据库支持清单_更新至2.X.0.xlsx#sheet=功能清单,row=多轮对话</x:v>
      </x:c>
      <x:c r="J21" s="54" t="str">
        <x:v>待产品专家确认</x:v>
      </x:c>
      <x:c r="K21" s="54" t="str">
        <x:v>待产品专家确认</x:v>
      </x:c>
      <x:c r="L21" s="51" t="str"/>
      <x:c r="M21" s="54" t="str">
        <x:v>否</x:v>
      </x:c>
      <x:c r="N21" s="57" t="str"/>
      <x:c r="O21" s="51" t="str"/>
    </x:row>
    <x:row r="22" ht="48" customHeight="1">
      <x:c r="A22" s="51" t="str">
        <x:v>客户要自动聚合、对比、下钻并分析异常原因</x:v>
      </x:c>
      <x:c r="B22" s="51" t="str">
        <x:v>增强智能分析与下钻</x:v>
      </x:c>
      <x:c r="C22" s="51" t="str">
        <x:v>业务分析洞察</x:v>
      </x:c>
      <x:c r="D22" s="51" t="str">
        <x:v>无涯·问数</x:v>
      </x:c>
      <x:c r="E22" s="51" t="str">
        <x:v>Co-Worker + 无涯·问数</x:v>
      </x:c>
      <x:c r="F22" s="51" t="str">
        <x:v>问数可进行数据处理、聚合、对比、下钻和深度思考</x:v>
      </x:c>
      <x:c r="G22" s="51" t="str">
        <x:v>指标口径和数据质量可控</x:v>
      </x:c>
      <x:c r="H22" s="51" t="str">
        <x:v>复杂统计结论需核验数据范围和方法</x:v>
      </x:c>
      <x:c r="I22" s="51" t="str">
        <x:v>问数白皮书V2.0_20250718.pdf#page=4;page=6-9</x:v>
      </x:c>
      <x:c r="J22" s="54" t="str">
        <x:v>待产品专家确认</x:v>
      </x:c>
      <x:c r="K22" s="54" t="str">
        <x:v>待产品专家确认</x:v>
      </x:c>
      <x:c r="L22" s="51" t="str"/>
      <x:c r="M22" s="54" t="str">
        <x:v>否</x:v>
      </x:c>
      <x:c r="N22" s="57" t="str"/>
      <x:c r="O22" s="51" t="str"/>
    </x:row>
    <x:row r="23" ht="48" customHeight="1">
      <x:c r="A23" s="51" t="str">
        <x:v>客户要把问数结果保存为图表和仪表盘并共享</x:v>
      </x:c>
      <x:c r="B23" s="51" t="str">
        <x:v>数据可视化与看板</x:v>
      </x:c>
      <x:c r="C23" s="51" t="str">
        <x:v>分析看板</x:v>
      </x:c>
      <x:c r="D23" s="51" t="str">
        <x:v>无涯·问数</x:v>
      </x:c>
      <x:c r="E23" s="51" t="str">
        <x:v>Co-Worker</x:v>
      </x:c>
      <x:c r="F23" s="51" t="str">
        <x:v>问数支持多类图表、个人看板、共享和刷新</x:v>
      </x:c>
      <x:c r="G23" s="51" t="str">
        <x:v>目标是交互分析和结果展示</x:v>
      </x:c>
      <x:c r="H23" s="51" t="str">
        <x:v>固定监管报表或复杂排版可能仍需 Co-Worker 生成交付物</x:v>
      </x:c>
      <x:c r="I23" s="51" t="str">
        <x:v>问数白皮书V2.0_20250718.pdf#page=7;page=9;无涯问数事项跟踪2026_功能清单及数据库支持清单_更新至2.X.0.xlsx#sheet=功能清单</x:v>
      </x:c>
      <x:c r="J23" s="54" t="str">
        <x:v>待产品专家确认</x:v>
      </x:c>
      <x:c r="K23" s="54" t="str">
        <x:v>待产品专家确认</x:v>
      </x:c>
      <x:c r="L23" s="51" t="str"/>
      <x:c r="M23" s="54" t="str">
        <x:v>否</x:v>
      </x:c>
      <x:c r="N23" s="57" t="str"/>
      <x:c r="O23" s="51" t="str"/>
    </x:row>
    <x:row r="24" ht="48" customHeight="1">
      <x:c r="A24" s="51" t="str">
        <x:v>客户希望查看生成的SQL并手动拖拽调整分析逻辑</x:v>
      </x:c>
      <x:c r="B24" s="51" t="str">
        <x:v>SQL双向解析与可解释分析</x:v>
      </x:c>
      <x:c r="C24" s="51" t="str">
        <x:v>透明数据分析</x:v>
      </x:c>
      <x:c r="D24" s="51" t="str">
        <x:v>无涯·问数 + Opcode Engine</x:v>
      </x:c>
      <x:c r="E24" s="51" t="str">
        <x:v>无涯·问数</x:v>
      </x:c>
      <x:c r="F24" s="51" t="str">
        <x:v>Opcode Engine 支持 SQL 解析展示和前端调整后反向生成 SQL</x:v>
      </x:c>
      <x:c r="G24" s="51" t="str">
        <x:v>用户需要理解和修正查询逻辑</x:v>
      </x:c>
      <x:c r="H24" s="51" t="str">
        <x:v>可解释不代表所有 SQL 自动正确，复杂查询仍需验证</x:v>
      </x:c>
      <x:c r="I24" s="51" t="str">
        <x:v>问数白皮书V2.0_20250718.pdf#page=5;page=7</x:v>
      </x:c>
      <x:c r="J24" s="54" t="str">
        <x:v>待产品专家确认</x:v>
      </x:c>
      <x:c r="K24" s="54" t="str">
        <x:v>待产品专家确认</x:v>
      </x:c>
      <x:c r="L24" s="51" t="str"/>
      <x:c r="M24" s="54" t="str">
        <x:v>否</x:v>
      </x:c>
      <x:c r="N24" s="57" t="str"/>
      <x:c r="O24" s="51" t="str"/>
    </x:row>
    <x:row r="25" ht="48" customHeight="1">
      <x:c r="A25" s="51" t="str">
        <x:v>客户要把多表、字段、指标、标签和业务口径配置成可问的数据对象</x:v>
      </x:c>
      <x:c r="B25" s="51" t="str">
        <x:v>分析主体与语义层</x:v>
      </x:c>
      <x:c r="C25" s="51" t="str">
        <x:v>业务语义建模</x:v>
      </x:c>
      <x:c r="D25" s="51" t="str">
        <x:v>无涯·问数</x:v>
      </x:c>
      <x:c r="E25" s="51" t="str">
        <x:v>TDS + 无涯·问数</x:v>
      </x:c>
      <x:c r="F25" s="51" t="str">
        <x:v>问数通过分析主体、同义词和场景知识库屏蔽物理表复杂性</x:v>
      </x:c>
      <x:c r="G25" s="51" t="str">
        <x:v>业务对象、表关系和口径已确认</x:v>
      </x:c>
      <x:c r="H25" s="51" t="str">
        <x:v>大规模企业治理优先复用 TDS 成果</x:v>
      </x:c>
      <x:c r="I25" s="51" t="str">
        <x:v>问数白皮书V2.0_20250718.pdf#page=5;page=8;无涯问数事项跟踪2026_功能清单及数据库支持清单_更新至2.X.0.xlsx#sheet=功能清单</x:v>
      </x:c>
      <x:c r="J25" s="54" t="str">
        <x:v>待产品专家确认</x:v>
      </x:c>
      <x:c r="K25" s="54" t="str">
        <x:v>待产品专家确认</x:v>
      </x:c>
      <x:c r="L25" s="51" t="str"/>
      <x:c r="M25" s="54" t="str">
        <x:v>否</x:v>
      </x:c>
      <x:c r="N25" s="57" t="str"/>
      <x:c r="O25" s="51" t="str"/>
    </x:row>
    <x:row r="26" ht="48" customHeight="1">
      <x:c r="A26" s="51" t="str">
        <x:v>客户已经有TDS治理成果，希望直接用于智能问数</x:v>
      </x:c>
      <x:c r="B26" s="51" t="str">
        <x:v>复用TDS治理成果</x:v>
      </x:c>
      <x:c r="C26" s="51" t="str">
        <x:v>治理增强智能问数</x:v>
      </x:c>
      <x:c r="D26" s="51" t="str">
        <x:v>TDS + 无涯·问数</x:v>
      </x:c>
      <x:c r="E26" s="51" t="str">
        <x:v>无涯·问数</x:v>
      </x:c>
      <x:c r="F26" s="51" t="str">
        <x:v>问数可深度打通数据开发与治理套件，复用指标、元数据和权限成果</x:v>
      </x:c>
      <x:c r="G26" s="51" t="str">
        <x:v>客户已有 TDS 或可提供标准化治理资产</x:v>
      </x:c>
      <x:c r="H26" s="51" t="str">
        <x:v>问数本身不替代全套数据治理平台</x:v>
      </x:c>
      <x:c r="I26" s="51" t="str">
        <x:v>问数白皮书V2.0_20250718.pdf#page=4-6;无涯问数事项跟踪2026_功能清单及数据库支持清单_更新至2.X.0.xlsx#sheet=功能清单</x:v>
      </x:c>
      <x:c r="J26" s="54" t="str">
        <x:v>待产品专家确认</x:v>
      </x:c>
      <x:c r="K26" s="54" t="str">
        <x:v>待产品专家确认</x:v>
      </x:c>
      <x:c r="L26" s="51" t="str"/>
      <x:c r="M26" s="54" t="str">
        <x:v>否</x:v>
      </x:c>
      <x:c r="N26" s="57" t="str"/>
      <x:c r="O26" s="51" t="str"/>
    </x:row>
    <x:row r="27" ht="48" customHeight="1">
      <x:c r="A27" s="51" t="str">
        <x:v>客户要求查询继承表级、行级和列级数据权限</x:v>
      </x:c>
      <x:c r="B27" s="51" t="str">
        <x:v>细粒度数据权限</x:v>
      </x:c>
      <x:c r="C27" s="51" t="str">
        <x:v>安全智能问数</x:v>
      </x:c>
      <x:c r="D27" s="51" t="str">
        <x:v>TDS + 无涯·问数</x:v>
      </x:c>
      <x:c r="E27" s="51" t="str">
        <x:v>无涯·问数</x:v>
      </x:c>
      <x:c r="F27" s="51" t="str">
        <x:v>问数支持继承企业现有权限并描述表、行、列级控制</x:v>
      </x:c>
      <x:c r="G27" s="51" t="str">
        <x:v>权限体系已定义并完成映射</x:v>
      </x:c>
      <x:c r="H27" s="51" t="str">
        <x:v>具体数据库和版本的权限适配需验证</x:v>
      </x:c>
      <x:c r="I27" s="51" t="str">
        <x:v>问数白皮书V2.0_20250718.pdf#page=5</x:v>
      </x:c>
      <x:c r="J27" s="54" t="str">
        <x:v>待产品专家确认</x:v>
      </x:c>
      <x:c r="K27" s="54" t="str">
        <x:v>待产品专家确认</x:v>
      </x:c>
      <x:c r="L27" s="51" t="str"/>
      <x:c r="M27" s="54" t="str">
        <x:v>否</x:v>
      </x:c>
      <x:c r="N27" s="57" t="str"/>
      <x:c r="O27" s="51" t="str"/>
    </x:row>
    <x:row r="28" ht="48" customHeight="1">
      <x:c r="A28" s="51" t="str">
        <x:v>客户要把智能问数嵌入现有业务平台</x:v>
      </x:c>
      <x:c r="B28" s="51" t="str">
        <x:v>问数API集成</x:v>
      </x:c>
      <x:c r="C28" s="51" t="str">
        <x:v>嵌入式智能分析</x:v>
      </x:c>
      <x:c r="D28" s="51" t="str">
        <x:v>无涯·问数</x:v>
      </x:c>
      <x:c r="E28" s="51" t="str">
        <x:v>Co-Worker + 无涯·问数</x:v>
      </x:c>
      <x:c r="F28" s="51" t="str">
        <x:v>问数提供 API 接口以集成到现有业务平台</x:v>
      </x:c>
      <x:c r="G28" s="51" t="str">
        <x:v>目标接口、认证和调用方式在支持范围内</x:v>
      </x:c>
      <x:c r="H28" s="51" t="str">
        <x:v>未确认 API 清单前不能承诺所有功能可嵌入</x:v>
      </x:c>
      <x:c r="I28" s="51" t="str">
        <x:v>问数白皮书V2.0_20250718.pdf#page=7</x:v>
      </x:c>
      <x:c r="J28" s="54" t="str">
        <x:v>待产品专家确认</x:v>
      </x:c>
      <x:c r="K28" s="54" t="str">
        <x:v>待产品专家确认</x:v>
      </x:c>
      <x:c r="L28" s="51" t="str"/>
      <x:c r="M28" s="54" t="str">
        <x:v>否</x:v>
      </x:c>
      <x:c r="N28" s="57" t="str"/>
      <x:c r="O28" s="51" t="str"/>
    </x:row>
    <x:row r="29" ht="48" customHeight="1">
      <x:c r="A29" s="51" t="str">
        <x:v>客户询问问数能连接哪些数据库</x:v>
      </x:c>
      <x:c r="B29" s="51" t="str">
        <x:v>问数数据库适配</x:v>
      </x:c>
      <x:c r="C29" s="51" t="str">
        <x:v>数据源连接</x:v>
      </x:c>
      <x:c r="D29" s="51" t="str">
        <x:v>无涯·问数</x:v>
      </x:c>
      <x:c r="E29" s="51" t="str">
        <x:v>TDS + 无涯·问数</x:v>
      </x:c>
      <x:c r="F29" s="51" t="str">
        <x:v>问数资料提供独立数据库支持清单</x:v>
      </x:c>
      <x:c r="G29" s="51" t="str">
        <x:v>目标数据库、版本、驱动和网络已明确</x:v>
      </x:c>
      <x:c r="H29" s="51" t="str">
        <x:v>只能按当前支持清单答复，未知数据库必须确认</x:v>
      </x:c>
      <x:c r="I29" s="51" t="str">
        <x:v>无涯问数事项跟踪2026_功能清单及数据库支持清单_更新至2.X.0.xlsx#sheet=数据库支持清单,A1:C12</x:v>
      </x:c>
      <x:c r="J29" s="54" t="str">
        <x:v>待产品专家确认</x:v>
      </x:c>
      <x:c r="K29" s="54" t="str">
        <x:v>待产品专家确认</x:v>
      </x:c>
      <x:c r="L29" s="51" t="str"/>
      <x:c r="M29" s="54" t="str">
        <x:v>否</x:v>
      </x:c>
      <x:c r="N29" s="57" t="str"/>
      <x:c r="O29" s="51" t="str"/>
    </x:row>
    <x:row r="30" ht="48" customHeight="1">
      <x:c r="A30" s="51" t="str">
        <x:v>客户希望AI读取ERP、OA、邮件和本机文件并把任务做完</x:v>
      </x:c>
      <x:c r="B30" s="51" t="str">
        <x:v>跨系统任务执行</x:v>
      </x:c>
      <x:c r="C30" s="51" t="str">
        <x:v>企业AI协同办公</x:v>
      </x:c>
      <x:c r="D30" s="51" t="str">
        <x:v>Co-Worker</x:v>
      </x:c>
      <x:c r="E30" s="51" t="str">
        <x:v>Co-Worker + TDS</x:v>
      </x:c>
      <x:c r="F30" s="51" t="str">
        <x:v>Co-Worker 面向多系统、多工具、多步骤任务，从理解到执行和交付</x:v>
      </x:c>
      <x:c r="G30" s="51" t="str">
        <x:v>流程高频、规则明确且系统可连接</x:v>
      </x:c>
      <x:c r="H30" s="51" t="str">
        <x:v>仅需查知识时优先无涯·问知；高风险动作必须确认</x:v>
      </x:c>
      <x:c r="I30" s="51" t="str">
        <x:v>Co-Worker.pptx#slide=2;slide=5;slide=7;slide=9</x:v>
      </x:c>
      <x:c r="J30" s="54" t="str">
        <x:v>待产品专家确认</x:v>
      </x:c>
      <x:c r="K30" s="54" t="str">
        <x:v>待产品专家确认</x:v>
      </x:c>
      <x:c r="L30" s="51" t="str"/>
      <x:c r="M30" s="54" t="str">
        <x:v>否</x:v>
      </x:c>
      <x:c r="N30" s="57" t="str"/>
      <x:c r="O30" s="51" t="str"/>
    </x:row>
    <x:row r="31" ht="48" customHeight="1">
      <x:c r="A31" s="51" t="str">
        <x:v>月报资料散落在本地、云端和数据库，希望自动汇总成报告</x:v>
      </x:c>
      <x:c r="B31" s="51" t="str">
        <x:v>多源资料汇总与报告交付</x:v>
      </x:c>
      <x:c r="C31" s="51" t="str">
        <x:v>经营分析报告</x:v>
      </x:c>
      <x:c r="D31" s="51" t="str">
        <x:v>Co-Worker</x:v>
      </x:c>
      <x:c r="E31" s="51" t="str">
        <x:v>Co-Worker + 无涯·问知 + 无涯·问数</x:v>
      </x:c>
      <x:c r="F31" s="51" t="str">
        <x:v>Co-Worker 可组合本地材料、企业知识和结构化数据生成可交付报告</x:v>
      </x:c>
      <x:c r="G31" s="51" t="str">
        <x:v>资料权限、口径和报告模板已提供</x:v>
      </x:c>
      <x:c r="H31" s="51" t="str">
        <x:v>数据口径未对齐时不能直接生成正式结论</x:v>
      </x:c>
      <x:c r="I31" s="51" t="str">
        <x:v>Co-Worker.pptx#slide=3;slide=5-6;slide=12</x:v>
      </x:c>
      <x:c r="J31" s="54" t="str">
        <x:v>待产品专家确认</x:v>
      </x:c>
      <x:c r="K31" s="54" t="str">
        <x:v>待产品专家确认</x:v>
      </x:c>
      <x:c r="L31" s="51" t="str"/>
      <x:c r="M31" s="54" t="str">
        <x:v>否</x:v>
      </x:c>
      <x:c r="N31" s="57" t="str"/>
      <x:c r="O31" s="51" t="str"/>
    </x:row>
    <x:row r="32" ht="48" customHeight="1">
      <x:c r="A32" s="51" t="str">
        <x:v>客户要把合同催办或报表流程沉淀成可复用数字员工</x:v>
      </x:c>
      <x:c r="B32" s="51" t="str">
        <x:v>数字员工与流程沉淀</x:v>
      </x:c>
      <x:c r="C32" s="51" t="str">
        <x:v>岗位流程自动化</x:v>
      </x:c>
      <x:c r="D32" s="51" t="str">
        <x:v>Co-Worker + Co-Worker数字员工</x:v>
      </x:c>
      <x:c r="E32" s="51" t="str">
        <x:v>Skill + Skill Hub</x:v>
      </x:c>
      <x:c r="F32" s="51" t="str">
        <x:v>Co-Worker 将职责、流程、确认节点和经验沉淀为可复用数字员工与 Skill</x:v>
      </x:c>
      <x:c r="G32" s="51" t="str">
        <x:v>任务重复、边界清晰且有业务 Owner</x:v>
      </x:c>
      <x:c r="H32" s="51" t="str">
        <x:v>不适合从重大高风险决策的全自动化开始</x:v>
      </x:c>
      <x:c r="I32" s="51" t="str">
        <x:v>Co-Worker.pptx#slide=2;slide=7</x:v>
      </x:c>
      <x:c r="J32" s="54" t="str">
        <x:v>待产品专家确认</x:v>
      </x:c>
      <x:c r="K32" s="54" t="str">
        <x:v>待产品专家确认</x:v>
      </x:c>
      <x:c r="L32" s="51" t="str"/>
      <x:c r="M32" s="54" t="str">
        <x:v>否</x:v>
      </x:c>
      <x:c r="N32" s="57" t="str"/>
      <x:c r="O32" s="51" t="str"/>
    </x:row>
    <x:row r="33" ht="48" customHeight="1">
      <x:c r="A33" s="51" t="str">
        <x:v>客户要求AI每一步自查，失败重试，卡住时找人</x:v>
      </x:c>
      <x:c r="B33" s="51" t="str">
        <x:v>Agent Loop与执行保障</x:v>
      </x:c>
      <x:c r="C33" s="51" t="str">
        <x:v>可靠任务执行</x:v>
      </x:c>
      <x:c r="D33" s="51" t="str">
        <x:v>Co-Worker</x:v>
      </x:c>
      <x:c r="E33" s="51" t="str">
        <x:v>Co-Worker数字员工</x:v>
      </x:c>
      <x:c r="F33" s="51" t="str">
        <x:v>Co-Worker 资料描述判断、执行、检查、调整以及失败重试和人工介入</x:v>
      </x:c>
      <x:c r="G33" s="51" t="str">
        <x:v>流程可拆分且异常处理规则明确</x:v>
      </x:c>
      <x:c r="H33" s="51" t="str">
        <x:v>不能承诺任何流程都零失败或完全无人值守</x:v>
      </x:c>
      <x:c r="I33" s="51" t="str">
        <x:v>Co-Worker.pptx#slide=7;slide=9</x:v>
      </x:c>
      <x:c r="J33" s="54" t="str">
        <x:v>待产品专家确认</x:v>
      </x:c>
      <x:c r="K33" s="54" t="str">
        <x:v>待产品专家确认</x:v>
      </x:c>
      <x:c r="L33" s="51" t="str"/>
      <x:c r="M33" s="54" t="str">
        <x:v>否</x:v>
      </x:c>
      <x:c r="N33" s="57" t="str"/>
      <x:c r="O33" s="51" t="str"/>
    </x:row>
    <x:row r="34" ht="48" customHeight="1">
      <x:c r="A34" s="51" t="str">
        <x:v>对外发送、覆盖文件等敏感动作必须由人批准</x:v>
      </x:c>
      <x:c r="B34" s="51" t="str">
        <x:v>敏感动作人工确认</x:v>
      </x:c>
      <x:c r="C34" s="51" t="str">
        <x:v>人机协同控制</x:v>
      </x:c>
      <x:c r="D34" s="51" t="str">
        <x:v>Co-Worker</x:v>
      </x:c>
      <x:c r="E34" s="51" t="str">
        <x:v>AI Infra</x:v>
      </x:c>
      <x:c r="F34" s="51" t="str">
        <x:v>Co-Worker 在关键动作前展示影响范围并由审核人确认</x:v>
      </x:c>
      <x:c r="G34" s="51" t="str">
        <x:v>高影响动作和审批人已定义</x:v>
      </x:c>
      <x:c r="H34" s="51" t="str">
        <x:v>不得绕过确认直接执行高风险操作</x:v>
      </x:c>
      <x:c r="I34" s="51" t="str">
        <x:v>Co-Worker.pptx#slide=7-8</x:v>
      </x:c>
      <x:c r="J34" s="54" t="str">
        <x:v>待产品专家确认</x:v>
      </x:c>
      <x:c r="K34" s="54" t="str">
        <x:v>待产品专家确认</x:v>
      </x:c>
      <x:c r="L34" s="51" t="str"/>
      <x:c r="M34" s="54" t="str">
        <x:v>否</x:v>
      </x:c>
      <x:c r="N34" s="57" t="str"/>
      <x:c r="O34" s="51" t="str"/>
    </x:row>
    <x:row r="35" ht="48" customHeight="1">
      <x:c r="A35" s="51" t="str">
        <x:v>客户要控制数字员工权限、隔离执行并完整审计</x:v>
      </x:c>
      <x:c r="B35" s="51" t="str">
        <x:v>权限、沙箱与审计</x:v>
      </x:c>
      <x:c r="C35" s="51" t="str">
        <x:v>企业级安全执行</x:v>
      </x:c>
      <x:c r="D35" s="51" t="str">
        <x:v>Co-Worker</x:v>
      </x:c>
      <x:c r="E35" s="51" t="str">
        <x:v>AI Infra</x:v>
      </x:c>
      <x:c r="F35" s="51" t="str">
        <x:v>Co-Worker 采用使用者与数字员工职责交集、多层沙箱和逐环节审计</x:v>
      </x:c>
      <x:c r="G35" s="51" t="str">
        <x:v>身份、职责、数据和审批链清楚</x:v>
      </x:c>
      <x:c r="H35" s="51" t="str">
        <x:v>具体隔离等级和合规认证需按版本与项目确认</x:v>
      </x:c>
      <x:c r="I35" s="51" t="str">
        <x:v>Co-Worker.pptx#slide=8-9</x:v>
      </x:c>
      <x:c r="J35" s="54" t="str">
        <x:v>待产品专家确认</x:v>
      </x:c>
      <x:c r="K35" s="54" t="str">
        <x:v>待产品专家确认</x:v>
      </x:c>
      <x:c r="L35" s="51" t="str"/>
      <x:c r="M35" s="54" t="str">
        <x:v>否</x:v>
      </x:c>
      <x:c r="N35" s="57" t="str"/>
      <x:c r="O35" s="51" t="str"/>
    </x:row>
    <x:row r="36" ht="48" customHeight="1">
      <x:c r="A36" s="51" t="str">
        <x:v>客户想在桌面端处理本地材料，同时让Web端持续运行团队任务</x:v>
      </x:c>
      <x:c r="B36" s="51" t="str">
        <x:v>端云协同</x:v>
      </x:c>
      <x:c r="C36" s="51" t="str">
        <x:v>桌面与Web协同</x:v>
      </x:c>
      <x:c r="D36" s="51" t="str">
        <x:v>Co-Worker</x:v>
      </x:c>
      <x:c r="E36" s="51" t="str">
        <x:v>无涯·问知</x:v>
      </x:c>
      <x:c r="F36" s="51" t="str">
        <x:v>Co-Worker 桌面端贴近本地数据，Web 端支持团队协同和云端持续运行</x:v>
      </x:c>
      <x:c r="G36" s="51" t="str">
        <x:v>客户允许按敏感度划分本地和云端任务</x:v>
      </x:c>
      <x:c r="H36" s="51" t="str">
        <x:v>云端能力启用范围和数据流向必须明确</x:v>
      </x:c>
      <x:c r="I36" s="51" t="str">
        <x:v>Co-Worker.pptx#slide=2;slide=9-10</x:v>
      </x:c>
      <x:c r="J36" s="54" t="str">
        <x:v>待产品专家确认</x:v>
      </x:c>
      <x:c r="K36" s="54" t="str">
        <x:v>待产品专家确认</x:v>
      </x:c>
      <x:c r="L36" s="51" t="str"/>
      <x:c r="M36" s="54" t="str">
        <x:v>否</x:v>
      </x:c>
      <x:c r="N36" s="57" t="str"/>
      <x:c r="O36" s="51" t="str"/>
    </x:row>
    <x:row r="37" ht="48" customHeight="1">
      <x:c r="A37" s="51" t="str">
        <x:v>客户要把团队经验做成可审核、可分发、可升级的技能</x:v>
      </x:c>
      <x:c r="B37" s="51" t="str">
        <x:v>Skill Hub技能治理</x:v>
      </x:c>
      <x:c r="C37" s="51" t="str">
        <x:v>企业能力资产化</x:v>
      </x:c>
      <x:c r="D37" s="51" t="str">
        <x:v>Co-Worker + Skill Hub</x:v>
      </x:c>
      <x:c r="E37" s="51" t="str">
        <x:v>Sophon LLMOps + Agent Go</x:v>
      </x:c>
      <x:c r="F37" s="51" t="str">
        <x:v>Skill Hub 管理技能审核、分发、权限、版本和审计</x:v>
      </x:c>
      <x:c r="G37" s="51" t="str">
        <x:v>需要多人复用并有技能 Owner</x:v>
      </x:c>
      <x:c r="H37" s="51" t="str">
        <x:v>压缩包中的示例 Skill 不能未经安全审核直接使用</x:v>
      </x:c>
      <x:c r="I37" s="51" t="str">
        <x:v>Co-Worker.pptx#slide=2;slide=7;slide=9</x:v>
      </x:c>
      <x:c r="J37" s="54" t="str">
        <x:v>待产品专家确认</x:v>
      </x:c>
      <x:c r="K37" s="54" t="str">
        <x:v>待产品专家确认</x:v>
      </x:c>
      <x:c r="L37" s="51" t="str"/>
      <x:c r="M37" s="54" t="str">
        <x:v>否</x:v>
      </x:c>
      <x:c r="N37" s="57" t="str"/>
      <x:c r="O37" s="51" t="str"/>
    </x:row>
    <x:row r="38" ht="48" customHeight="1">
      <x:c r="A38" s="52" t="str">
        <x:v>客户已有内网或云端模型，希望应用层灵活切换</x:v>
      </x:c>
      <x:c r="B38" s="52" t="str">
        <x:v>兼容模型接入</x:v>
      </x:c>
      <x:c r="C38" s="52" t="str">
        <x:v>模型可插拔</x:v>
      </x:c>
      <x:c r="D38" s="52" t="str">
        <x:v>Co-Worker</x:v>
      </x:c>
      <x:c r="E38" s="52" t="str">
        <x:v>Sophon LLMOps + TDC AI服务版</x:v>
      </x:c>
      <x:c r="F38" s="52" t="str">
        <x:v>Co-Worker 支持本地、内网和云端模型及 OpenAI 兼容接口</x:v>
      </x:c>
      <x:c r="G38" s="52" t="str">
        <x:v>目标模型和接口兼容且通过验证</x:v>
      </x:c>
      <x:c r="H38" s="52" t="str">
        <x:v>模型训练、算力调度和服务治理应由 LLMOps/TDC AI 承担</x:v>
      </x:c>
      <x:c r="I38" s="52" t="str">
        <x:v>Co-Worker.pptx#slide=2;slide=9-10</x:v>
      </x:c>
      <x:c r="J38" s="55" t="str">
        <x:v>待产品专家确认</x:v>
      </x:c>
      <x:c r="K38" s="55" t="str">
        <x:v>待产品专家确认</x:v>
      </x:c>
      <x:c r="L38" s="52" t="str"/>
      <x:c r="M38" s="55" t="str">
        <x:v>否</x:v>
      </x:c>
      <x:c r="N38" s="58" t="str"/>
      <x:c r="O38" s="52" t="str"/>
    </x:row>
  </x:sheetData>
  <x:mergeCells>
    <x:mergeCell ref="A1:O1"/>
    <x:mergeCell ref="A2:O2"/>
  </x:mergeCells>
  <x:conditionalFormatting sqref="K5:K38">
    <x:cfRule type="containsText" dxfId="0" priority="1" operator="containsText" text="通过"/>
    <x:cfRule type="containsText" dxfId="1" priority="2" operator="containsText" text="不通过"/>
    <x:cfRule type="containsText" dxfId="2" priority="3" operator="containsText" text="待补充"/>
  </x:conditionalFormatting>
  <x:dataValidations count="2">
    <x:dataValidation type="list" sqref="K5:K38">
      <x:formula1>"待产品专家确认,通过,修改后通过,不通过,待补充资料"</x:formula1>
    </x:dataValidation>
    <x:dataValidation type="list" sqref="M5:M38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f3c27624494f5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2" hidden="0" customWidth="1"/>
    <x:col min="3" max="3" width="34" hidden="0" customWidth="1"/>
    <x:col min="4" max="4" width="32" hidden="0" customWidth="1"/>
    <x:col min="5" max="5" width="44" hidden="0" customWidth="1"/>
    <x:col min="6" max="6" width="30" hidden="0" customWidth="1"/>
    <x:col min="7" max="7" width="30" hidden="0" customWidth="1"/>
    <x:col min="8" max="8" width="32" hidden="0" customWidth="1"/>
    <x:col min="9" max="9" width="30" hidden="0" customWidth="1"/>
    <x:col min="10" max="10" width="44" hidden="0" customWidth="1"/>
    <x:col min="11" max="11" width="14" hidden="0" customWidth="1"/>
    <x:col min="12" max="12" width="14" hidden="0" customWidth="1"/>
    <x:col min="13" max="13" width="16" hidden="0" customWidth="1"/>
    <x:col min="14" max="14" width="18" hidden="0" customWidth="1"/>
    <x:col min="15" max="15" width="30" hidden="0" customWidth="1"/>
    <x:col min="16" max="16" width="42" hidden="0" customWidth="1"/>
    <x:col min="17" max="17" width="14" hidden="0" customWidth="1"/>
    <x:col min="18" max="18" width="14" hidden="0" customWidth="1"/>
    <x:col min="19" max="19" width="34" hidden="0" customWidth="1"/>
  </x:cols>
  <x:sheetData>
    <x:row r="1" ht="30" customHeight="1">
      <x:c r="A1" s="26" t="str">
        <x:v>无涯 场景—产品组合专家审核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  <x:c r="M1" s="26"/>
      <x:c r="N1" s="26"/>
      <x:c r="O1" s="26"/>
      <x:c r="P1" s="26"/>
      <x:c r="Q1" s="26"/>
      <x:c r="R1" s="26"/>
      <x:c r="S1" s="26"/>
    </x:row>
    <x:row r="2" ht="40" customHeight="1">
      <x:c r="A2" s="30" t="str">
        <x:v>共 15 条。请重点核对组合边界、License、版本与可交付性；黄色字段由专家填写。</x:v>
      </x:c>
      <x:c r="B2" s="30"/>
      <x:c r="C2" s="30"/>
      <x:c r="D2" s="30"/>
      <x:c r="E2" s="30"/>
      <x:c r="F2" s="30"/>
      <x:c r="G2" s="30"/>
      <x:c r="H2" s="30"/>
      <x:c r="I2" s="30"/>
      <x:c r="J2" s="30"/>
      <x:c r="K2" s="30"/>
      <x:c r="L2" s="30"/>
      <x:c r="M2" s="30"/>
      <x:c r="N2" s="30"/>
      <x:c r="O2" s="30"/>
      <x:c r="P2" s="30"/>
      <x:c r="Q2" s="30"/>
      <x:c r="R2" s="30"/>
      <x:c r="S2" s="30"/>
    </x:row>
    <x:row r="4" ht="38" customHeight="1">
      <x:c r="A4" s="40" t="str">
        <x:v>映射编号</x:v>
      </x:c>
      <x:c r="B4" s="41" t="str">
        <x:v>销售复合需求</x:v>
      </x:c>
      <x:c r="C4" s="41" t="str">
        <x:v>能力拆分</x:v>
      </x:c>
      <x:c r="D4" s="41" t="str">
        <x:v>主推组合</x:v>
      </x:c>
      <x:c r="E4" s="41" t="str">
        <x:v>产品分工</x:v>
      </x:c>
      <x:c r="F4" s="41" t="str">
        <x:v>可选组合</x:v>
      </x:c>
      <x:c r="G4" s="41" t="str">
        <x:v>适用条件</x:v>
      </x:c>
      <x:c r="H4" s="41" t="str">
        <x:v>必须追问</x:v>
      </x:c>
      <x:c r="I4" s="41" t="str">
        <x:v>排除条件</x:v>
      </x:c>
      <x:c r="J4" s="41" t="str">
        <x:v>资料来源</x:v>
      </x:c>
      <x:c r="K4" s="41" t="str">
        <x:v>资料冲突</x:v>
      </x:c>
      <x:c r="L4" s="41" t="str">
        <x:v>推荐置信度</x:v>
      </x:c>
      <x:c r="M4" s="41" t="str">
        <x:v>产品专家</x:v>
      </x:c>
      <x:c r="N4" s="41" t="str">
        <x:v>审核状态</x:v>
      </x:c>
      <x:c r="O4" s="41" t="str">
        <x:v>优化备注</x:v>
      </x:c>
      <x:c r="P4" s="41" t="str">
        <x:v>专家正式口径</x:v>
      </x:c>
      <x:c r="Q4" s="41" t="str">
        <x:v>是否可对客</x:v>
      </x:c>
      <x:c r="R4" s="41" t="str">
        <x:v>审核日期</x:v>
      </x:c>
      <x:c r="S4" s="42" t="str">
        <x:v>审核意见</x:v>
      </x:c>
    </x:row>
    <x:row r="5" ht="48" customHeight="1">
      <x:c r="A5" s="50" t="str">
        <x:v>WUYA-M001</x:v>
      </x:c>
      <x:c r="B5" s="50" t="str">
        <x:v>建设多模态企业知识库并提供可溯源问答</x:v>
      </x:c>
      <x:c r="C5" s="50" t="str">
        <x:v>多模态解析;知识库;RAG;原文引用;组织权限</x:v>
      </x:c>
      <x:c r="D5" s="50" t="str">
        <x:v>TKH + 无涯·问知</x:v>
      </x:c>
      <x:c r="E5" s="50" t="str">
        <x:v>TKH：企业知识平台与权限；无涯·问知：知识接入、检索、问答和引用</x:v>
      </x:c>
      <x:c r="F5" s="50" t="str">
        <x:v>增加知识门户进行统一编目与共享</x:v>
      </x:c>
      <x:c r="G5" s="50" t="str">
        <x:v>主要数据是文档、图片、音视频等知识内容</x:v>
      </x:c>
      <x:c r="H5" s="50" t="str">
        <x:v>知识规模、格式、组织权限、部署方式和目标并发是什么？</x:v>
      </x:c>
      <x:c r="I5" s="50" t="str">
        <x:v>若核心是结构化数据库查询，应增加无涯·问数</x:v>
      </x:c>
      <x:c r="J5" s="50" t="str">
        <x:v>问知白皮书V2.0_20250718.pdf#page=3-10;THK白皮书V3.0(简版).pdf#page=1-2</x:v>
      </x:c>
      <x:c r="K5" s="50" t="str">
        <x:v>无</x:v>
      </x:c>
      <x:c r="L5" s="50" t="str">
        <x:v>高</x:v>
      </x:c>
      <x:c r="M5" s="53" t="str">
        <x:v>待指定</x:v>
      </x:c>
      <x:c r="N5" s="53" t="str">
        <x:v>待产品专家确认</x:v>
      </x:c>
      <x:c r="O5" s="50" t="str"/>
      <x:c r="P5" s="50" t="str"/>
      <x:c r="Q5" s="53" t="str">
        <x:v>否</x:v>
      </x:c>
      <x:c r="R5" s="56" t="str"/>
      <x:c r="S5" s="50" t="str"/>
    </x:row>
    <x:row r="6" ht="48" customHeight="1">
      <x:c r="A6" s="51" t="str">
        <x:v>WUYA-M002</x:v>
      </x:c>
      <x:c r="B6" s="51" t="str">
        <x:v>统一管理企业知识并让员工检索、问答和写作</x:v>
      </x:c>
      <x:c r="C6" s="51" t="str">
        <x:v>知识编目;统一权限;检索;问答;写作</x:v>
      </x:c>
      <x:c r="D6" s="51" t="str">
        <x:v>TKH + 知识门户 + 无涯·问知</x:v>
      </x:c>
      <x:c r="E6" s="51" t="str">
        <x:v>知识门户：编目、检索和共享；无涯·问知：RAG 问答、助手和写作；TKH：统一平台</x:v>
      </x:c>
      <x:c r="F6" s="51" t="str">
        <x:v>问知企业版</x:v>
      </x:c>
      <x:c r="G6" s="51" t="str">
        <x:v>客户需要组织级知识运营</x:v>
      </x:c>
      <x:c r="H6" s="51" t="str">
        <x:v>当前知识系统、目录、权限、内容 Owner 和写作场景是什么？</x:v>
      </x:c>
      <x:c r="I6" s="51" t="str">
        <x:v>知识门户不替代内容治理责任和审核</x:v>
      </x:c>
      <x:c r="J6" s="51" t="str">
        <x:v>问知白皮书V2.0_20250718.pdf#page=6-11</x:v>
      </x:c>
      <x:c r="K6" s="51" t="str">
        <x:v>无</x:v>
      </x:c>
      <x:c r="L6" s="51" t="str">
        <x:v>高</x:v>
      </x:c>
      <x:c r="M6" s="54" t="str">
        <x:v>待指定</x:v>
      </x:c>
      <x:c r="N6" s="54" t="str">
        <x:v>待产品专家确认</x:v>
      </x:c>
      <x:c r="O6" s="51" t="str"/>
      <x:c r="P6" s="51" t="str"/>
      <x:c r="Q6" s="54" t="str">
        <x:v>否</x:v>
      </x:c>
      <x:c r="R6" s="57" t="str"/>
      <x:c r="S6" s="51" t="str"/>
    </x:row>
    <x:row r="7" ht="48" customHeight="1">
      <x:c r="A7" s="51" t="str">
        <x:v>WUYA-M003</x:v>
      </x:c>
      <x:c r="B7" s="51" t="str">
        <x:v>用内部资料、数据库和互联网生成可追溯研究报告</x:v>
      </x:c>
      <x:c r="C7" s="51" t="str">
        <x:v>内部知识;数据库查询;互联网检索;研究框架;报告大纲;溯源</x:v>
      </x:c>
      <x:c r="D7" s="51" t="str">
        <x:v>无涯·问知 + 问知深度研究助手 + 无涯·问数</x:v>
      </x:c>
      <x:c r="E7" s="51" t="str">
        <x:v>问知：知识与报告交互；深度研究助手：研究规划和工具编排；问数：结构化数据查询</x:v>
      </x:c>
      <x:c r="F7" s="51" t="str">
        <x:v>数据库查询可由客户现有工具或 MCP 替代</x:v>
      </x:c>
      <x:c r="G7" s="51" t="str">
        <x:v>需要复杂研究而非简单知识问答</x:v>
      </x:c>
      <x:c r="H7" s="51" t="str">
        <x:v>数据源、研究框架、报告模板、审批人和时效要求是什么？</x:v>
      </x:c>
      <x:c r="I7" s="51" t="str">
        <x:v>不承诺未经人工复核的投资或重大决策结论</x:v>
      </x:c>
      <x:c r="J7" s="51" t="str">
        <x:v>无涯问知深度研究助手产品介绍.pptx#slide=1-6;问知白皮书V2.0_20250718.pdf#page=9</x:v>
      </x:c>
      <x:c r="K7" s="51" t="str">
        <x:v>无</x:v>
      </x:c>
      <x:c r="L7" s="51" t="str">
        <x:v>高</x:v>
      </x:c>
      <x:c r="M7" s="54" t="str">
        <x:v>待指定</x:v>
      </x:c>
      <x:c r="N7" s="54" t="str">
        <x:v>待产品专家确认</x:v>
      </x:c>
      <x:c r="O7" s="51" t="str"/>
      <x:c r="P7" s="51" t="str"/>
      <x:c r="Q7" s="54" t="str">
        <x:v>否</x:v>
      </x:c>
      <x:c r="R7" s="57" t="str"/>
      <x:c r="S7" s="51" t="str"/>
    </x:row>
    <x:row r="8" ht="48" customHeight="1">
      <x:c r="A8" s="51" t="str">
        <x:v>WUYA-M004</x:v>
      </x:c>
      <x:c r="B8" s="51" t="str">
        <x:v>小团队需要开箱即用的本地知识问答一体机</x:v>
      </x:c>
      <x:c r="C8" s="51" t="str">
        <x:v>本地知识;本地模型;软硬一体;团队访问</x:v>
      </x:c>
      <x:c r="D8" s="51" t="str">
        <x:v>无涯问知AI工作站</x:v>
      </x:c>
      <x:c r="E8" s="51" t="str">
        <x:v>AI工作站：预装问知、模型和硬件，提供小团队本地知识问答</x:v>
      </x:c>
      <x:c r="F8" s="51" t="str">
        <x:v>问知企业版 + 客户自备服务器</x:v>
      </x:c>
      <x:c r="G8" s="51" t="str">
        <x:v>团队规模和并发符合正式配置</x:v>
      </x:c>
      <x:c r="H8" s="51" t="str">
        <x:v>人数、并发、模型、知识量、国产化和网络隔离要求是什么？</x:v>
      </x:c>
      <x:c r="I8" s="51" t="str">
        <x:v>配置和 tokens/s 必须按正式方案或 PoC 验证</x:v>
      </x:c>
      <x:c r="J8" s="51" t="str">
        <x:v>无涯问知AI工作站产品介绍202601.pptx#slide=1-3</x:v>
      </x:c>
      <x:c r="K8" s="51" t="str">
        <x:v>无</x:v>
      </x:c>
      <x:c r="L8" s="51" t="str">
        <x:v>中</x:v>
      </x:c>
      <x:c r="M8" s="54" t="str">
        <x:v>待指定</x:v>
      </x:c>
      <x:c r="N8" s="54" t="str">
        <x:v>待产品专家确认</x:v>
      </x:c>
      <x:c r="O8" s="51" t="str"/>
      <x:c r="P8" s="51" t="str"/>
      <x:c r="Q8" s="54" t="str">
        <x:v>否</x:v>
      </x:c>
      <x:c r="R8" s="57" t="str"/>
      <x:c r="S8" s="51" t="str"/>
    </x:row>
    <x:row r="9" ht="48" customHeight="1">
      <x:c r="A9" s="51" t="str">
        <x:v>WUYA-M005</x:v>
      </x:c>
      <x:c r="B9" s="51" t="str">
        <x:v>基于治理好的数据让业务人员自然语言问数并追问分析</x:v>
      </x:c>
      <x:c r="C9" s="51" t="str">
        <x:v>数据治理;业务语义;NL2SQL;多轮;可视化;权限</x:v>
      </x:c>
      <x:c r="D9" s="51" t="str">
        <x:v>TDS + 无涯·问数</x:v>
      </x:c>
      <x:c r="E9" s="51" t="str">
        <x:v>TDS：元数据、指标、标签、口径和权限治理；无涯·问数：自然语言查询、分析、追问和图表</x:v>
      </x:c>
      <x:c r="F9" s="51" t="str">
        <x:v>数据准备简单时可先部署无涯·问数独立管理端</x:v>
      </x:c>
      <x:c r="G9" s="51" t="str">
        <x:v>已有治理成果或可完成主体与语义准备</x:v>
      </x:c>
      <x:c r="H9" s="51" t="str">
        <x:v>数据库、表关系、指标口径、权限、版本和准确率验收题是什么？</x:v>
      </x:c>
      <x:c r="I9" s="51" t="str">
        <x:v>问数不替代完整数据治理平台</x:v>
      </x:c>
      <x:c r="J9" s="51" t="str">
        <x:v>问数白皮书V2.0_20250718.pdf#page=4-9;无涯问数事项跟踪2026_功能清单及数据库支持清单_更新至2.X.0.xlsx#sheet=功能清单</x:v>
      </x:c>
      <x:c r="K9" s="51" t="str">
        <x:v>无</x:v>
      </x:c>
      <x:c r="L9" s="51" t="str">
        <x:v>高</x:v>
      </x:c>
      <x:c r="M9" s="54" t="str">
        <x:v>待指定</x:v>
      </x:c>
      <x:c r="N9" s="54" t="str">
        <x:v>待产品专家确认</x:v>
      </x:c>
      <x:c r="O9" s="51" t="str"/>
      <x:c r="P9" s="51" t="str"/>
      <x:c r="Q9" s="54" t="str">
        <x:v>否</x:v>
      </x:c>
      <x:c r="R9" s="57" t="str"/>
      <x:c r="S9" s="51" t="str"/>
    </x:row>
    <x:row r="10" ht="48" customHeight="1">
      <x:c r="A10" s="51" t="str">
        <x:v>WUYA-M006</x:v>
      </x:c>
      <x:c r="B10" s="51" t="str">
        <x:v>客户没有TDS但想快速用Excel或少量数据库试点智能问数</x:v>
      </x:c>
      <x:c r="C10" s="51" t="str">
        <x:v>轻量数据接入;分析主体;自然语言查询;图表</x:v>
      </x:c>
      <x:c r="D10" s="51" t="str">
        <x:v>无涯·问数</x:v>
      </x:c>
      <x:c r="E10" s="51" t="str">
        <x:v>问数独立管理端：数据源、单表或 Excel 主体、场景和问答；业务人员：确认口径</x:v>
      </x:c>
      <x:c r="F10" s="51" t="str">
        <x:v>后续扩展为 TDS + 无涯·问数</x:v>
      </x:c>
      <x:c r="G10" s="51" t="str">
        <x:v>数据规模和关系较简单，适合试点</x:v>
      </x:c>
      <x:c r="H10" s="51" t="str">
        <x:v>数据来自 Excel 还是数据库？是否多表、权限复杂或有统一指标要求？</x:v>
      </x:c>
      <x:c r="I10" s="51" t="str">
        <x:v>复杂多表治理和企业权限场景不应长期绕开 TDS</x:v>
      </x:c>
      <x:c r="J10" s="51" t="str">
        <x:v>无涯问数事项跟踪2026_功能清单及数据库支持清单_更新至2.X.0.xlsx#sheet=功能清单;问数白皮书V2.0_20250718.pdf#page=7</x:v>
      </x:c>
      <x:c r="K10" s="51" t="str">
        <x:v>无</x:v>
      </x:c>
      <x:c r="L10" s="51" t="str">
        <x:v>高</x:v>
      </x:c>
      <x:c r="M10" s="54" t="str">
        <x:v>待指定</x:v>
      </x:c>
      <x:c r="N10" s="54" t="str">
        <x:v>待产品专家确认</x:v>
      </x:c>
      <x:c r="O10" s="51" t="str"/>
      <x:c r="P10" s="51" t="str"/>
      <x:c r="Q10" s="54" t="str">
        <x:v>否</x:v>
      </x:c>
      <x:c r="R10" s="57" t="str"/>
      <x:c r="S10" s="51" t="str"/>
    </x:row>
    <x:row r="11" ht="48" customHeight="1">
      <x:c r="A11" s="51" t="str">
        <x:v>WUYA-M007</x:v>
      </x:c>
      <x:c r="B11" s="51" t="str">
        <x:v>AI既要查企业知识又要进入ERP/OA完成催办和回填</x:v>
      </x:c>
      <x:c r="C11" s="51" t="str">
        <x:v>知识问答;系统连接;流程执行;人工确认;审计</x:v>
      </x:c>
      <x:c r="D11" s="51" t="str">
        <x:v>Co-Worker + 无涯·问知</x:v>
      </x:c>
      <x:c r="E11" s="51" t="str">
        <x:v>无涯·问知：企业知识和可溯源问答；Co-Worker：跨系统执行、流程闭环和交付</x:v>
      </x:c>
      <x:c r="F11" s="51" t="str">
        <x:v>增加 TDS 接入结构化指标</x:v>
      </x:c>
      <x:c r="G11" s="51" t="str">
        <x:v>任务高频、规则明确且系统接口可用</x:v>
      </x:c>
      <x:c r="H11" s="51" t="str">
        <x:v>要连接哪些系统、执行哪些动作、谁审批、如何验收？</x:v>
      </x:c>
      <x:c r="I11" s="51" t="str">
        <x:v>只查不执行时无需强推 Co-Worker</x:v>
      </x:c>
      <x:c r="J11" s="51" t="str">
        <x:v>Co-Worker.pptx#slide=2;slide=5-9;问知白皮书V2.0_20250718.pdf#page=3-5</x:v>
      </x:c>
      <x:c r="K11" s="51" t="str">
        <x:v>无</x:v>
      </x:c>
      <x:c r="L11" s="51" t="str">
        <x:v>高</x:v>
      </x:c>
      <x:c r="M11" s="54" t="str">
        <x:v>待指定</x:v>
      </x:c>
      <x:c r="N11" s="54" t="str">
        <x:v>待产品专家确认</x:v>
      </x:c>
      <x:c r="O11" s="51" t="str"/>
      <x:c r="P11" s="51" t="str"/>
      <x:c r="Q11" s="54" t="str">
        <x:v>否</x:v>
      </x:c>
      <x:c r="R11" s="57" t="str"/>
      <x:c r="S11" s="51" t="str"/>
    </x:row>
    <x:row r="12" ht="48" customHeight="1">
      <x:c r="A12" s="51" t="str">
        <x:v>WUYA-M008</x:v>
      </x:c>
      <x:c r="B12" s="51" t="str">
        <x:v>AI要查业务数据、分析异常并生成报告后发送或催办</x:v>
      </x:c>
      <x:c r="C12" s="51" t="str">
        <x:v>自然语言问数;分析;报告;消息;流程闭环</x:v>
      </x:c>
      <x:c r="D12" s="51" t="str">
        <x:v>Co-Worker + 无涯·问数</x:v>
      </x:c>
      <x:c r="E12" s="51" t="str">
        <x:v>无涯·问数：查询、分析和可视化；Co-Worker：报告生成、消息发送、催办和任务闭环</x:v>
      </x:c>
      <x:c r="F12" s="51" t="str">
        <x:v>增加 TDS 提供治理口径</x:v>
      </x:c>
      <x:c r="G12" s="51" t="str">
        <x:v>数据库和业务系统可接入</x:v>
      </x:c>
      <x:c r="H12" s="51" t="str">
        <x:v>数据源、报告模板、发送渠道、审批节点和时效是什么？</x:v>
      </x:c>
      <x:c r="I12" s="51" t="str">
        <x:v>自动发送前必须设置人工确认和权限</x:v>
      </x:c>
      <x:c r="J12" s="51" t="str">
        <x:v>Co-Worker.pptx#slide=2-9;问数白皮书V2.0_20250718.pdf#page=4-9</x:v>
      </x:c>
      <x:c r="K12" s="51" t="str">
        <x:v>无</x:v>
      </x:c>
      <x:c r="L12" s="51" t="str">
        <x:v>高</x:v>
      </x:c>
      <x:c r="M12" s="54" t="str">
        <x:v>待指定</x:v>
      </x:c>
      <x:c r="N12" s="54" t="str">
        <x:v>待产品专家确认</x:v>
      </x:c>
      <x:c r="O12" s="51" t="str"/>
      <x:c r="P12" s="51" t="str"/>
      <x:c r="Q12" s="54" t="str">
        <x:v>否</x:v>
      </x:c>
      <x:c r="R12" s="57" t="str"/>
      <x:c r="S12" s="51" t="str"/>
    </x:row>
    <x:row r="13" ht="48" customHeight="1">
      <x:c r="A13" s="51" t="str">
        <x:v>WUYA-M009</x:v>
      </x:c>
      <x:c r="B13" s="51" t="str">
        <x:v>数据治理任务需要智能识别、专业治理执行和跨系统协同</x:v>
      </x:c>
      <x:c r="C13" s="51" t="str">
        <x:v>智能治理;治理工具;流程编排;任务执行;审计</x:v>
      </x:c>
      <x:c r="D13" s="51" t="str">
        <x:v>Co-Worker + Astro + TDS</x:v>
      </x:c>
      <x:c r="E13" s="51" t="str">
        <x:v>Astro：智能识别和治理建议；TDS：目录、质量、标准等专业治理执行；Co-Worker：跨系统任务编排、协同和交付</x:v>
      </x:c>
      <x:c r="F13" s="51" t="str">
        <x:v>底座按数据场景选 TDH 或 ArgoDB</x:v>
      </x:c>
      <x:c r="G13" s="51" t="str">
        <x:v>客户要的不只是查询，而是治理任务闭环</x:v>
      </x:c>
      <x:c r="H13" s="51" t="str">
        <x:v>治理对象、实时性、底座、审批和写回范围是什么？</x:v>
      </x:c>
      <x:c r="I13" s="51" t="str">
        <x:v>无涯·问数不承担数据采集、实时流动或完整治理执行；跨产品边界需产品专家确认</x:v>
      </x:c>
      <x:c r="J13" s="51" t="str">
        <x:v>Co-Worker.pptx#slide=2;slide=7</x:v>
      </x:c>
      <x:c r="K13" s="51" t="str">
        <x:v>有</x:v>
      </x:c>
      <x:c r="L13" s="51" t="str">
        <x:v>中</x:v>
      </x:c>
      <x:c r="M13" s="54" t="str">
        <x:v>待指定</x:v>
      </x:c>
      <x:c r="N13" s="54" t="str">
        <x:v>待产品专家确认</x:v>
      </x:c>
      <x:c r="O13" s="51" t="str"/>
      <x:c r="P13" s="51" t="str"/>
      <x:c r="Q13" s="54" t="str">
        <x:v>否</x:v>
      </x:c>
      <x:c r="R13" s="57" t="str"/>
      <x:c r="S13" s="51" t="str"/>
    </x:row>
    <x:row r="14" ht="48" customHeight="1">
      <x:c r="A14" s="51" t="str">
        <x:v>WUYA-M010</x:v>
      </x:c>
      <x:c r="B14" s="51" t="str">
        <x:v>Co-Worker需要企业统一模型服务、算力和多模型治理</x:v>
      </x:c>
      <x:c r="C14" s="51" t="str">
        <x:v>应用执行;模型接入;模型服务;算力;配额;审计</x:v>
      </x:c>
      <x:c r="D14" s="51" t="str">
        <x:v>Co-Worker + Sophon LLMOps</x:v>
      </x:c>
      <x:c r="E14" s="51" t="str">
        <x:v>Co-Worker：业务任务执行；LLMOps：模型接入、服务、算力与运营治理</x:v>
      </x:c>
      <x:c r="F14" s="51" t="str">
        <x:v>按客户现有底座比较 TDC AI服务版</x:v>
      </x:c>
      <x:c r="G14" s="51" t="str">
        <x:v>客户有多个模型、GPU 或多部门模型服务需求</x:v>
      </x:c>
      <x:c r="H14" s="51" t="str">
        <x:v>现有模型、接口、GPU、并发、SLA、配额和部署形态是什么？</x:v>
      </x:c>
      <x:c r="I14" s="51" t="str">
        <x:v>Co-Worker 本身不替代模型训练和算力运营平台；LLMOps 与 TDC AI 边界待项目确认</x:v>
      </x:c>
      <x:c r="J14" s="51" t="str">
        <x:v>Co-Worker.pptx#slide=2;slide=9-10</x:v>
      </x:c>
      <x:c r="K14" s="51" t="str">
        <x:v>有</x:v>
      </x:c>
      <x:c r="L14" s="51" t="str">
        <x:v>中</x:v>
      </x:c>
      <x:c r="M14" s="54" t="str">
        <x:v>待指定</x:v>
      </x:c>
      <x:c r="N14" s="54" t="str">
        <x:v>待产品专家确认</x:v>
      </x:c>
      <x:c r="O14" s="51" t="str"/>
      <x:c r="P14" s="51" t="str"/>
      <x:c r="Q14" s="54" t="str">
        <x:v>否</x:v>
      </x:c>
      <x:c r="R14" s="57" t="str"/>
      <x:c r="S14" s="51" t="str"/>
    </x:row>
    <x:row r="15" ht="48" customHeight="1">
      <x:c r="A15" s="51" t="str">
        <x:v>WUYA-M011</x:v>
      </x:c>
      <x:c r="B15" s="51" t="str">
        <x:v>从散落材料和数据库自动形成经营分析报告</x:v>
      </x:c>
      <x:c r="C15" s="51" t="str">
        <x:v>本地文件;企业知识;数据库;分析;图表;报告;溯源</x:v>
      </x:c>
      <x:c r="D15" s="51" t="str">
        <x:v>Co-Worker + 无涯·问知 + 无涯·问数</x:v>
      </x:c>
      <x:c r="E15" s="51" t="str">
        <x:v>问知：制度、纪要和文档知识；问数：结构化指标查询；Co-Worker：汇总、分析、制图和交付报告</x:v>
      </x:c>
      <x:c r="F15" s="51" t="str">
        <x:v>已有 TDS 时增加 TDS 统一口径</x:v>
      </x:c>
      <x:c r="G15" s="51" t="str">
        <x:v>数据和知识分散且最终需要交付物</x:v>
      </x:c>
      <x:c r="H15" s="51" t="str">
        <x:v>资料位置、数据库、指标口径、模板、截止时间和审核人是什么？</x:v>
      </x:c>
      <x:c r="I15" s="51" t="str">
        <x:v>不应在口径未确认时自动发布正式报告</x:v>
      </x:c>
      <x:c r="J15" s="51" t="str">
        <x:v>Co-Worker.pptx#slide=3;slide=6;slide=12</x:v>
      </x:c>
      <x:c r="K15" s="51" t="str">
        <x:v>无</x:v>
      </x:c>
      <x:c r="L15" s="51" t="str">
        <x:v>高</x:v>
      </x:c>
      <x:c r="M15" s="54" t="str">
        <x:v>待指定</x:v>
      </x:c>
      <x:c r="N15" s="54" t="str">
        <x:v>待产品专家确认</x:v>
      </x:c>
      <x:c r="O15" s="51" t="str"/>
      <x:c r="P15" s="51" t="str"/>
      <x:c r="Q15" s="54" t="str">
        <x:v>否</x:v>
      </x:c>
      <x:c r="R15" s="57" t="str"/>
      <x:c r="S15" s="51" t="str"/>
    </x:row>
    <x:row r="16" ht="48" customHeight="1">
      <x:c r="A16" s="51" t="str">
        <x:v>WUYA-M012</x:v>
      </x:c>
      <x:c r="B16" s="51" t="str">
        <x:v>建设问知、问数和知识门户一体化的无涯平台</x:v>
      </x:c>
      <x:c r="C16" s="51" t="str">
        <x:v>知识管理;知识问答;结构化问数;门户;权限</x:v>
      </x:c>
      <x:c r="D16" s="51" t="str">
        <x:v>TKH + 无涯·问知 + 无涯·问数 + 知识门户</x:v>
      </x:c>
      <x:c r="E16" s="51" t="str">
        <x:v>TKH：统一平台；问知：非结构化知识应用；问数：结构化数据分析；知识门户：知识编目与共享</x:v>
      </x:c>
      <x:c r="F16" s="51" t="str">
        <x:v>增加 Co-Worker 将问答扩展为任务执行</x:v>
      </x:c>
      <x:c r="G16" s="51" t="str">
        <x:v>客户同时有知识与数据分析场景</x:v>
      </x:c>
      <x:c r="H16" s="51" t="str">
        <x:v>首批场景更偏文档知识、数据库问数还是跨系统执行？</x:v>
      </x:c>
      <x:c r="I16" s="51" t="str">
        <x:v>不应因为产品齐全而忽略首版场景聚焦</x:v>
      </x:c>
      <x:c r="J16" s="51" t="str">
        <x:v>THK白皮书V3.0(简版).pdf#page=1-2;无涯问知AI工作站产品介绍202601.pptx#slide=2</x:v>
      </x:c>
      <x:c r="K16" s="51" t="str">
        <x:v>无</x:v>
      </x:c>
      <x:c r="L16" s="51" t="str">
        <x:v>高</x:v>
      </x:c>
      <x:c r="M16" s="54" t="str">
        <x:v>待指定</x:v>
      </x:c>
      <x:c r="N16" s="54" t="str">
        <x:v>待产品专家确认</x:v>
      </x:c>
      <x:c r="O16" s="51" t="str"/>
      <x:c r="P16" s="51" t="str"/>
      <x:c r="Q16" s="54" t="str">
        <x:v>否</x:v>
      </x:c>
      <x:c r="R16" s="57" t="str"/>
      <x:c r="S16" s="51" t="str"/>
    </x:row>
    <x:row r="17" ht="48" customHeight="1">
      <x:c r="A17" s="51" t="str">
        <x:v>WUYA-M013</x:v>
      </x:c>
      <x:c r="B17" s="51" t="str">
        <x:v>把无涯能力嵌入客户已有门户或业务系统</x:v>
      </x:c>
      <x:c r="C17" s="51" t="str">
        <x:v>API;身份;权限;知识问答;数据问答</x:v>
      </x:c>
      <x:c r="D17" s="51" t="str">
        <x:v>无涯·问知 / 无涯·问数（按场景选择）</x:v>
      </x:c>
      <x:c r="E17" s="51" t="str">
        <x:v>问知：知识问答接口；问数：数据查询与分析接口；客户系统：入口、身份和业务流程</x:v>
      </x:c>
      <x:c r="F17" s="51" t="str">
        <x:v>复杂执行增加 Co-Worker</x:v>
      </x:c>
      <x:c r="G17" s="51" t="str">
        <x:v>目标能力已有对应 API 且身份权限可映射</x:v>
      </x:c>
      <x:c r="H17" s="51" t="str">
        <x:v>嵌入的是问知、问数还是任务执行？接口、SSO、权限和并发要求是什么？</x:v>
      </x:c>
      <x:c r="I17" s="51" t="str">
        <x:v>没有 API 清单和版本确认时不能承诺全功能嵌入；问知接口范围待版本确认</x:v>
      </x:c>
      <x:c r="J17" s="51" t="str">
        <x:v>问数白皮书V2.0_20250718.pdf#page=7;无涯问知功能清单与描述（引导参数）.xlsx#sheet=无涯问知v2.6.0</x:v>
      </x:c>
      <x:c r="K17" s="51" t="str">
        <x:v>有</x:v>
      </x:c>
      <x:c r="L17" s="51" t="str">
        <x:v>中</x:v>
      </x:c>
      <x:c r="M17" s="54" t="str">
        <x:v>待指定</x:v>
      </x:c>
      <x:c r="N17" s="54" t="str">
        <x:v>待产品专家确认</x:v>
      </x:c>
      <x:c r="O17" s="51" t="str"/>
      <x:c r="P17" s="51" t="str"/>
      <x:c r="Q17" s="54" t="str">
        <x:v>否</x:v>
      </x:c>
      <x:c r="R17" s="57" t="str"/>
      <x:c r="S17" s="51" t="str"/>
    </x:row>
    <x:row r="18" ht="48" customHeight="1">
      <x:c r="A18" s="51" t="str">
        <x:v>WUYA-M014</x:v>
      </x:c>
      <x:c r="B18" s="51" t="str">
        <x:v>高敏感环境要求文档本地处理、模型内网部署且动作可控</x:v>
      </x:c>
      <x:c r="C18" s="51" t="str">
        <x:v>本地知识;内网模型;本地文件;权限;沙箱;人工确认;审计</x:v>
      </x:c>
      <x:c r="D18" s="51" t="str">
        <x:v>Co-Worker私有化 + 无涯·问知企业版</x:v>
      </x:c>
      <x:c r="E18" s="51" t="str">
        <x:v>问知企业版：私有知识问答；Co-Worker私有化：本地和内网任务执行、确认与审计</x:v>
      </x:c>
      <x:c r="F18" s="51" t="str">
        <x:v>模型与算力管理增加 Sophon LLMOps</x:v>
      </x:c>
      <x:c r="G18" s="51" t="str">
        <x:v>客户要求数据不出域且需要从问答进入执行</x:v>
      </x:c>
      <x:c r="H18" s="51" t="str">
        <x:v>是否完全断网？模型部署在哪里？哪些动作必须审批？</x:v>
      </x:c>
      <x:c r="I18" s="51" t="str">
        <x:v>不能把可配置不出域表述为所有场景天然绝对不出域</x:v>
      </x:c>
      <x:c r="J18" s="51" t="str">
        <x:v>Co-Worker.pptx#slide=8-10;问知白皮书V2.0_20250718.pdf#page=4</x:v>
      </x:c>
      <x:c r="K18" s="51" t="str">
        <x:v>无</x:v>
      </x:c>
      <x:c r="L18" s="51" t="str">
        <x:v>高</x:v>
      </x:c>
      <x:c r="M18" s="54" t="str">
        <x:v>待指定</x:v>
      </x:c>
      <x:c r="N18" s="54" t="str">
        <x:v>待产品专家确认</x:v>
      </x:c>
      <x:c r="O18" s="51" t="str"/>
      <x:c r="P18" s="51" t="str"/>
      <x:c r="Q18" s="54" t="str">
        <x:v>否</x:v>
      </x:c>
      <x:c r="R18" s="57" t="str"/>
      <x:c r="S18" s="51" t="str"/>
    </x:row>
    <x:row r="19" ht="48" customHeight="1">
      <x:c r="A19" s="52" t="str">
        <x:v>WUYA-M015</x:v>
      </x:c>
      <x:c r="B19" s="52" t="str">
        <x:v>客户使用XClaw或OpenClaw旧称，询问与Co-Worker是否相同</x:v>
      </x:c>
      <x:c r="C19" s="52" t="str">
        <x:v>名称识别;版本;交付形态;当前售卖口径</x:v>
      </x:c>
      <x:c r="D19" s="52" t="str">
        <x:v>待补充信息</x:v>
      </x:c>
      <x:c r="E19" s="52" t="str">
        <x:v>销售：先确认资料日期、版本和客户所指形态；产品专家：确认 XClaw、OpenClaw 方案与 Co-Worker 的正式关系</x:v>
      </x:c>
      <x:c r="F19" s="52" t="str">
        <x:v>当前材料优先参考 Co-Worker 2026-08-11 版本</x:v>
      </x:c>
      <x:c r="G19" s="52" t="str">
        <x:v>客户能提供版本、截图或原方案</x:v>
      </x:c>
      <x:c r="H19" s="52" t="str">
        <x:v>您所说的是哪份 XClaw/OpenClaw 方案、什么日期或版本？</x:v>
      </x:c>
      <x:c r="I19" s="52" t="str">
        <x:v>不得直接把历史名称静默替换为当前产品</x:v>
      </x:c>
      <x:c r="J19" s="52" t="str">
        <x:v>Co-Worker.pptx#slide=1;slide=11;Co-Worker白皮书（未转曲预览）7.13.pdf#page=1-2</x:v>
      </x:c>
      <x:c r="K19" s="52" t="str">
        <x:v>有</x:v>
      </x:c>
      <x:c r="L19" s="52" t="str">
        <x:v>低</x:v>
      </x:c>
      <x:c r="M19" s="55" t="str">
        <x:v>待指定</x:v>
      </x:c>
      <x:c r="N19" s="55" t="str">
        <x:v>待产品专家确认</x:v>
      </x:c>
      <x:c r="O19" s="52" t="str"/>
      <x:c r="P19" s="52" t="str"/>
      <x:c r="Q19" s="55" t="str">
        <x:v>否</x:v>
      </x:c>
      <x:c r="R19" s="58" t="str"/>
      <x:c r="S19" s="52" t="str"/>
    </x:row>
  </x:sheetData>
  <x:mergeCells>
    <x:mergeCell ref="A1:S1"/>
    <x:mergeCell ref="A2:S2"/>
  </x:mergeCells>
  <x:conditionalFormatting sqref="N5:N19">
    <x:cfRule type="containsText" dxfId="3" priority="1" operator="containsText" text="通过"/>
    <x:cfRule type="containsText" dxfId="4" priority="2" operator="containsText" text="不通过"/>
    <x:cfRule type="containsText" dxfId="5" priority="3" operator="containsText" text="待补充"/>
  </x:conditionalFormatting>
  <x:dataValidations count="2">
    <x:dataValidation type="list" sqref="N5:N19">
      <x:formula1>"待产品专家确认,通过,修改后通过,不通过,待补充资料"</x:formula1>
    </x:dataValidation>
    <x:dataValidation type="list" sqref="Q5:Q19">
      <x:formula1>"否,是"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f709d5b2494732"/>
  </x:tableParts>
</x:worksheet>
</file>